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hidePivotFieldList="1"/>
  <xr:revisionPtr revIDLastSave="0" documentId="8_{D5971AE9-6B17-4D0C-9DAA-4958C6793EC3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AW DATA" sheetId="1" r:id="rId1"/>
    <sheet name="DASHBOARD" sheetId="2" r:id="rId2"/>
    <sheet name="QUESTIONS AND SOLUTIONS" sheetId="3" r:id="rId3"/>
  </sheets>
  <definedNames>
    <definedName name="Slicer_Category">#N/A</definedName>
    <definedName name="Slicer_Order_Date">#N/A</definedName>
    <definedName name="Slicer_Region">#N/A</definedName>
  </definedNames>
  <calcPr calcId="191028"/>
  <pivotCaches>
    <pivotCache cacheId="48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<sst xmlns="http://schemas.openxmlformats.org/spreadsheetml/2006/main" count="381" uniqueCount="139">
  <si>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</si>
  <si>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</si>
  <si>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</si>
  <si>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</si>
  <si>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</si>
  <si>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</si>
  <si>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</si>
  <si>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</si>
  <si>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</si>
  <si>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</si>
  <si>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</si>
  <si>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</si>
  <si>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</si>
  <si>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</si>
  <si>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</si>
  <si>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</si>
  <si>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</si>
  <si>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</si>
  <si>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</si>
  <si>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</si>
  <si>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</si>
  <si>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</si>
  <si>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</si>
  <si>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</si>
  <si>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</si>
  <si>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</si>
  <si>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</si>
  <si>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</si>
  <si>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</si>
  <si>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</si>
  <si>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</si>
  <si>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</si>
  <si>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</si>
  <si>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</si>
  <si>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</si>
  <si>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</si>
  <si>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</si>
  <si>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</si>
  <si>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</si>
  <si>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</si>
  <si>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</si>
  <si>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</si>
  <si>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</si>
  <si>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</si>
  <si>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</si>
  <si>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</si>
  <si>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</si>
  <si>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</si>
  <si>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</si>
  <si>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</si>
  <si>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</si>
  <si>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</si>
  <si>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</si>
  <si>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</si>
  <si>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</si>
  <si>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</si>
  <si>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</si>
  <si>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</si>
  <si>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</si>
  <si>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</si>
  <si>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</si>
  <si>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</si>
  <si>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</si>
  <si>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</si>
  <si>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</si>
  <si>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</si>
  <si>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</si>
  <si>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</si>
  <si>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</si>
  <si>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</si>
  <si>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</si>
  <si>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</si>
  <si>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</si>
  <si>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</si>
  <si>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</si>
  <si>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</si>
  <si>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</si>
  <si>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</si>
  <si>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</si>
  <si>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</si>
  <si>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</si>
  <si>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</si>
  <si>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</si>
  <si>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</si>
  <si>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</si>
  <si>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</si>
  <si>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</si>
  <si>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</si>
  <si>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</si>
  <si>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</si>
  <si>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</si>
  <si>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</si>
  <si>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</si>
  <si>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</si>
  <si>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</si>
  <si>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</si>
  <si>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</si>
  <si>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</si>
  <si>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</si>
  <si>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</si>
  <si>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</si>
  <si>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</si>
  <si>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</si>
  <si>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</si>
  <si>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</si>
  <si>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</si>
  <si>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</si>
  <si>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</si>
  <si>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</si>
  <si>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</si>
  <si>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</si>
  <si>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</si>
  <si>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</si>
  <si>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</si>
  <si>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</si>
  <si>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</si>
  <si>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</si>
  <si>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</si>
  <si>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</si>
  <si>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</si>
  <si>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</si>
  <si>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</si>
  <si>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</si>
  <si>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</si>
  <si>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</si>
  <si>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</si>
  <si>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</si>
  <si>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</si>
  <si>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</si>
  <si>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</si>
  <si>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</si>
  <si>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Sum of Sales</t>
  </si>
  <si>
    <t>Sum of Profit</t>
  </si>
  <si>
    <t>Grand Total</t>
  </si>
  <si>
    <t>Values</t>
  </si>
  <si>
    <t>Count of Customer ID</t>
  </si>
  <si>
    <t>Total Sum of Sales</t>
  </si>
  <si>
    <t>Total Sum of Profit</t>
  </si>
  <si>
    <t>United States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</si>
</sst>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14" fontId="1" fillId="0" borderId="0" xfId="0" applyNumberFormat="1" applyFont="1" applyBorder="1" applyAlignment="1"/>
    <xf numFmtId="0" fontId="1" fillId="0" borderId="0" xfId="0" applyFont="1" applyBorder="1" applyAlignment="1">
      <alignment wrapText="1"/>
    </xf>
    <xf numFmtId="0" fontId="0" fillId="0" borderId="0" xfId="0" applyNumberFormat="1"/>
    <xf numFmtId="0" fontId="0" fillId="0" borderId="0" xfId="0" pivotButton="1"/>
    <xf numFmtId="14" fontId="0" fillId="0" borderId="0" xfId="0" applyNumberFormat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Customer-wise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3706.5214999999998</c:v>
              </c:pt>
              <c:pt idx="1">
                <c:v>1402.4939999999999</c:v>
              </c:pt>
              <c:pt idx="2">
                <c:v>2032.056</c:v>
              </c:pt>
            </c:numLit>
          </c:val>
          <c:extLst>
            <c:ext xmlns:c16="http://schemas.microsoft.com/office/drawing/2014/chart" uri="{C3380CC4-5D6E-409C-BE32-E72D297353CC}">
              <c16:uniqueId val="{00000000-CB64-4BD5-BE54-32F4A452093F}"/>
            </c:ext>
          </c:extLst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-22.056800000000038</c:v>
              </c:pt>
              <c:pt idx="1">
                <c:v>87.757299999999987</c:v>
              </c:pt>
              <c:pt idx="2">
                <c:v>175.083</c:v>
              </c:pt>
            </c:numLit>
          </c:val>
          <c:extLst>
            <c:ext xmlns:c16="http://schemas.microsoft.com/office/drawing/2014/chart" uri="{C3380CC4-5D6E-409C-BE32-E72D297353CC}">
              <c16:uniqueId val="{00000002-CB64-4BD5-BE54-32F4A452093F}"/>
            </c:ext>
          </c:extLst>
        </c:ser>
        <c:ser>
          <c:idx val="2"/>
          <c:order val="2"/>
          <c:tx>
            <c:v>Count of Customer ID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12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4-CB64-4BD5-BE54-32F4A4520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66647815"/>
        <c:axId val="1113195015"/>
      </c:barChart>
      <c:catAx>
        <c:axId val="3666478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95015"/>
        <c:crosses val="autoZero"/>
        <c:auto val="1"/>
        <c:lblAlgn val="ctr"/>
        <c:lblOffset val="100"/>
        <c:noMultiLvlLbl val="0"/>
      </c:catAx>
      <c:valAx>
        <c:axId val="1113195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47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0"/>
              <c:pt idx="0">
                <c:v>5/13/2014</c:v>
              </c:pt>
              <c:pt idx="1">
                <c:v>6/9/2014</c:v>
              </c:pt>
              <c:pt idx="2">
                <c:v>8/27/2014</c:v>
              </c:pt>
              <c:pt idx="3">
                <c:v>11/11/2014</c:v>
              </c:pt>
              <c:pt idx="4">
                <c:v>10/11/2015</c:v>
              </c:pt>
              <c:pt idx="5">
                <c:v>11/22/2015</c:v>
              </c:pt>
              <c:pt idx="6">
                <c:v>6/12/2016</c:v>
              </c:pt>
              <c:pt idx="7">
                <c:v>11/8/2016</c:v>
              </c:pt>
              <c:pt idx="8">
                <c:v>12/5/2016</c:v>
              </c:pt>
              <c:pt idx="9">
                <c:v>4/15/2017</c:v>
              </c:pt>
            </c:strLit>
          </c:cat>
          <c:val>
            <c:numLit>
              <c:formatCode>General</c:formatCode>
              <c:ptCount val="10"/>
              <c:pt idx="0">
                <c:v>55.5</c:v>
              </c:pt>
              <c:pt idx="1">
                <c:v>3714.3040000000001</c:v>
              </c:pt>
              <c:pt idx="2">
                <c:v>222.04</c:v>
              </c:pt>
              <c:pt idx="3">
                <c:v>665.88</c:v>
              </c:pt>
              <c:pt idx="4">
                <c:v>979.94550000000004</c:v>
              </c:pt>
              <c:pt idx="5">
                <c:v>71.353999999999999</c:v>
              </c:pt>
              <c:pt idx="6">
                <c:v>14.62</c:v>
              </c:pt>
              <c:pt idx="7">
                <c:v>993.90000000000009</c:v>
              </c:pt>
              <c:pt idx="8">
                <c:v>407.976</c:v>
              </c:pt>
              <c:pt idx="9">
                <c:v>15.552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BBF-49BA-8198-BA66B04C4DF1}"/>
            </c:ext>
          </c:extLst>
        </c:ser>
        <c:ser>
          <c:idx val="1"/>
          <c:order val="1"/>
          <c:tx>
            <c:v>Sum of Profit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0"/>
              <c:pt idx="0">
                <c:v>5/13/2014</c:v>
              </c:pt>
              <c:pt idx="1">
                <c:v>6/9/2014</c:v>
              </c:pt>
              <c:pt idx="2">
                <c:v>8/27/2014</c:v>
              </c:pt>
              <c:pt idx="3">
                <c:v>11/11/2014</c:v>
              </c:pt>
              <c:pt idx="4">
                <c:v>10/11/2015</c:v>
              </c:pt>
              <c:pt idx="5">
                <c:v>11/22/2015</c:v>
              </c:pt>
              <c:pt idx="6">
                <c:v>6/12/2016</c:v>
              </c:pt>
              <c:pt idx="7">
                <c:v>11/8/2016</c:v>
              </c:pt>
              <c:pt idx="8">
                <c:v>12/5/2016</c:v>
              </c:pt>
              <c:pt idx="9">
                <c:v>4/15/2017</c:v>
              </c:pt>
            </c:strLit>
          </c:cat>
          <c:val>
            <c:numLit>
              <c:formatCode>General</c:formatCode>
              <c:ptCount val="10"/>
              <c:pt idx="0">
                <c:v>9.99</c:v>
              </c:pt>
              <c:pt idx="1">
                <c:v>300.76870000000002</c:v>
              </c:pt>
              <c:pt idx="2">
                <c:v>18.493400000000001</c:v>
              </c:pt>
              <c:pt idx="3">
                <c:v>13.317600000000001</c:v>
              </c:pt>
              <c:pt idx="4">
                <c:v>-380.51460000000003</c:v>
              </c:pt>
              <c:pt idx="5">
                <c:v>-127.67400000000001</c:v>
              </c:pt>
              <c:pt idx="6">
                <c:v>6.8714000000000004</c:v>
              </c:pt>
              <c:pt idx="7">
                <c:v>261.49559999999997</c:v>
              </c:pt>
              <c:pt idx="8">
                <c:v>132.59219999999999</c:v>
              </c:pt>
              <c:pt idx="9">
                <c:v>5.4432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BBF-49BA-8198-BA66B04C4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665480"/>
        <c:axId val="1781408264"/>
      </c:lineChart>
      <c:catAx>
        <c:axId val="1778665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08264"/>
        <c:crosses val="autoZero"/>
        <c:auto val="1"/>
        <c:lblAlgn val="ctr"/>
        <c:lblOffset val="100"/>
        <c:noMultiLvlLbl val="0"/>
      </c:catAx>
      <c:valAx>
        <c:axId val="178140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66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California –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DASHBOARD!$M$30:$M$32</c:f>
              <c:strCache>
                <c:ptCount val="1"/>
                <c:pt idx="0">
                  <c:v>California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DASHBOARD!$M$33:$M$44</c:f>
              <c:numCache>
                <c:formatCode>General</c:formatCode>
                <c:ptCount val="10"/>
                <c:pt idx="2">
                  <c:v>3714.3040000000001</c:v>
                </c:pt>
                <c:pt idx="4">
                  <c:v>14.62</c:v>
                </c:pt>
                <c:pt idx="9">
                  <c:v>222.04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B-4DFD-97F7-C9B7FF8D0D7A}"/>
            </c:ext>
          </c:extLst>
        </c:ser>
        <c:ser>
          <c:idx val="1"/>
          <c:order val="1"/>
          <c:tx>
            <c:strRef>
              <c:f>DASHBOARD!$N$30:$N$32</c:f>
              <c:strCache>
                <c:ptCount val="1"/>
                <c:pt idx="0">
                  <c:v>California - 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DASHBOARD!$N$33:$N$44</c:f>
              <c:numCache>
                <c:formatCode>General</c:formatCode>
                <c:ptCount val="10"/>
                <c:pt idx="2">
                  <c:v>300.76870000000002</c:v>
                </c:pt>
                <c:pt idx="4">
                  <c:v>6.8714000000000004</c:v>
                </c:pt>
                <c:pt idx="9">
                  <c:v>18.493400000000001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1B-4DFD-97F7-C9B7FF8D0D7A}"/>
            </c:ext>
          </c:extLst>
        </c:ser>
        <c:ser>
          <c:idx val="2"/>
          <c:order val="2"/>
          <c:tx>
            <c:strRef>
              <c:f>DASHBOARD!$O$30:$O$32</c:f>
              <c:strCache>
                <c:ptCount val="1"/>
                <c:pt idx="0">
                  <c:v>Florida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DASHBOARD!$O$33:$O$44</c:f>
              <c:numCache>
                <c:formatCode>General</c:formatCode>
                <c:ptCount val="10"/>
                <c:pt idx="8">
                  <c:v>979.94550000000004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1B-4DFD-97F7-C9B7FF8D0D7A}"/>
            </c:ext>
          </c:extLst>
        </c:ser>
        <c:ser>
          <c:idx val="3"/>
          <c:order val="3"/>
          <c:tx>
            <c:strRef>
              <c:f>DASHBOARD!$P$30:$P$32</c:f>
              <c:strCache>
                <c:ptCount val="1"/>
                <c:pt idx="0">
                  <c:v>Florida - 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DASHBOARD!$P$33:$P$44</c:f>
              <c:numCache>
                <c:formatCode>General</c:formatCode>
                <c:ptCount val="10"/>
                <c:pt idx="8">
                  <c:v>-380.51460000000003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1B-4DFD-97F7-C9B7FF8D0D7A}"/>
            </c:ext>
          </c:extLst>
        </c:ser>
        <c:ser>
          <c:idx val="4"/>
          <c:order val="4"/>
          <c:tx>
            <c:strRef>
              <c:f>DASHBOARD!$Q$30:$Q$32</c:f>
              <c:strCache>
                <c:ptCount val="1"/>
                <c:pt idx="0">
                  <c:v>Kentucky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DASHBOARD!$Q$33:$Q$44</c:f>
              <c:numCache>
                <c:formatCode>General</c:formatCode>
                <c:ptCount val="10"/>
                <c:pt idx="3">
                  <c:v>993.90000000000009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1B-4DFD-97F7-C9B7FF8D0D7A}"/>
            </c:ext>
          </c:extLst>
        </c:ser>
        <c:ser>
          <c:idx val="5"/>
          <c:order val="5"/>
          <c:tx>
            <c:strRef>
              <c:f>DASHBOARD!$R$30:$R$32</c:f>
              <c:strCache>
                <c:ptCount val="1"/>
                <c:pt idx="0">
                  <c:v>Kentucky - 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DASHBOARD!$R$33:$R$44</c:f>
              <c:numCache>
                <c:formatCode>General</c:formatCode>
                <c:ptCount val="10"/>
                <c:pt idx="3">
                  <c:v>261.49559999999997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1B-4DFD-97F7-C9B7FF8D0D7A}"/>
            </c:ext>
          </c:extLst>
        </c:ser>
        <c:ser>
          <c:idx val="6"/>
          <c:order val="6"/>
          <c:tx>
            <c:strRef>
              <c:f>DASHBOARD!$S$30:$S$32</c:f>
              <c:strCache>
                <c:ptCount val="1"/>
                <c:pt idx="0">
                  <c:v>North Carolina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DASHBOARD!$S$33:$S$44</c:f>
              <c:numCache>
                <c:formatCode>General</c:formatCode>
                <c:ptCount val="10"/>
                <c:pt idx="1">
                  <c:v>15.552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1B-4DFD-97F7-C9B7FF8D0D7A}"/>
            </c:ext>
          </c:extLst>
        </c:ser>
        <c:ser>
          <c:idx val="7"/>
          <c:order val="7"/>
          <c:tx>
            <c:strRef>
              <c:f>DASHBOARD!$T$30:$T$32</c:f>
              <c:strCache>
                <c:ptCount val="1"/>
                <c:pt idx="0">
                  <c:v>North Carolina - 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DASHBOARD!$T$33:$T$44</c:f>
              <c:numCache>
                <c:formatCode>General</c:formatCode>
                <c:ptCount val="10"/>
                <c:pt idx="1">
                  <c:v>5.4432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E1B-4DFD-97F7-C9B7FF8D0D7A}"/>
            </c:ext>
          </c:extLst>
        </c:ser>
        <c:ser>
          <c:idx val="8"/>
          <c:order val="8"/>
          <c:tx>
            <c:strRef>
              <c:f>DASHBOARD!$U$30:$U$32</c:f>
              <c:strCache>
                <c:ptCount val="1"/>
                <c:pt idx="0">
                  <c:v>Texas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DASHBOARD!$U$33:$U$44</c:f>
              <c:numCache>
                <c:formatCode>General</c:formatCode>
                <c:ptCount val="10"/>
                <c:pt idx="5">
                  <c:v>71.353999999999999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1B-4DFD-97F7-C9B7FF8D0D7A}"/>
            </c:ext>
          </c:extLst>
        </c:ser>
        <c:ser>
          <c:idx val="9"/>
          <c:order val="9"/>
          <c:tx>
            <c:strRef>
              <c:f>DASHBOARD!$V$30:$V$32</c:f>
              <c:strCache>
                <c:ptCount val="1"/>
                <c:pt idx="0">
                  <c:v>Texas - 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DASHBOARD!$V$33:$V$44</c:f>
              <c:numCache>
                <c:formatCode>General</c:formatCode>
                <c:ptCount val="10"/>
                <c:pt idx="5">
                  <c:v>-127.67400000000001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E1B-4DFD-97F7-C9B7FF8D0D7A}"/>
            </c:ext>
          </c:extLst>
        </c:ser>
        <c:ser>
          <c:idx val="10"/>
          <c:order val="10"/>
          <c:tx>
            <c:strRef>
              <c:f>DASHBOARD!$W$30:$W$32</c:f>
              <c:strCache>
                <c:ptCount val="1"/>
                <c:pt idx="0">
                  <c:v>Utah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DASHBOARD!$W$33:$W$44</c:f>
              <c:numCache>
                <c:formatCode>General</c:formatCode>
                <c:ptCount val="10"/>
                <c:pt idx="0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1B-4DFD-97F7-C9B7FF8D0D7A}"/>
            </c:ext>
          </c:extLst>
        </c:ser>
        <c:ser>
          <c:idx val="11"/>
          <c:order val="11"/>
          <c:tx>
            <c:strRef>
              <c:f>DASHBOARD!$X$30:$X$32</c:f>
              <c:strCache>
                <c:ptCount val="1"/>
                <c:pt idx="0">
                  <c:v>Utah - 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DASHBOARD!$X$33:$X$44</c:f>
              <c:numCache>
                <c:formatCode>General</c:formatCode>
                <c:ptCount val="10"/>
                <c:pt idx="0">
                  <c:v>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E1B-4DFD-97F7-C9B7FF8D0D7A}"/>
            </c:ext>
          </c:extLst>
        </c:ser>
        <c:ser>
          <c:idx val="12"/>
          <c:order val="12"/>
          <c:tx>
            <c:strRef>
              <c:f>DASHBOARD!$Y$30:$Y$32</c:f>
              <c:strCache>
                <c:ptCount val="1"/>
                <c:pt idx="0">
                  <c:v>Washington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DASHBOARD!$Y$33:$Y$44</c:f>
              <c:numCache>
                <c:formatCode>General</c:formatCode>
                <c:ptCount val="10"/>
                <c:pt idx="6">
                  <c:v>407.976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E1B-4DFD-97F7-C9B7FF8D0D7A}"/>
            </c:ext>
          </c:extLst>
        </c:ser>
        <c:ser>
          <c:idx val="13"/>
          <c:order val="13"/>
          <c:tx>
            <c:strRef>
              <c:f>DASHBOARD!$Z$30:$Z$32</c:f>
              <c:strCache>
                <c:ptCount val="1"/>
                <c:pt idx="0">
                  <c:v>Washington - 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DASHBOARD!$Z$33:$Z$44</c:f>
              <c:numCache>
                <c:formatCode>General</c:formatCode>
                <c:ptCount val="10"/>
                <c:pt idx="6">
                  <c:v>132.59219999999999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E1B-4DFD-97F7-C9B7FF8D0D7A}"/>
            </c:ext>
          </c:extLst>
        </c:ser>
        <c:ser>
          <c:idx val="14"/>
          <c:order val="14"/>
          <c:tx>
            <c:strRef>
              <c:f>DASHBOARD!$AA$30:$AA$32</c:f>
              <c:strCache>
                <c:ptCount val="1"/>
                <c:pt idx="0">
                  <c:v>Wisconsin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DASHBOARD!$AA$33:$AA$44</c:f>
              <c:numCache>
                <c:formatCode>General</c:formatCode>
                <c:ptCount val="10"/>
                <c:pt idx="7">
                  <c:v>665.88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E1B-4DFD-97F7-C9B7FF8D0D7A}"/>
            </c:ext>
          </c:extLst>
        </c:ser>
        <c:ser>
          <c:idx val="15"/>
          <c:order val="15"/>
          <c:tx>
            <c:strRef>
              <c:f>DASHBOARD!$AB$30:$AB$32</c:f>
              <c:strCache>
                <c:ptCount val="1"/>
                <c:pt idx="0">
                  <c:v>Wisconsin - 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4C5E-4759-8796-F3F1DA1C1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4C5E-4759-8796-F3F1DA1C1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4C5E-4759-8796-F3F1DA1C1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4C5E-4759-8796-F3F1DA1C1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4C5E-4759-8796-F3F1DA1C13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4C5E-4759-8796-F3F1DA1C13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4C5E-4759-8796-F3F1DA1C13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4C5E-4759-8796-F3F1DA1C1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4C5E-4759-8796-F3F1DA1C1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4C5E-4759-8796-F3F1DA1C136A}"/>
              </c:ext>
            </c:extLst>
          </c:dPt>
          <c:cat>
            <c:multiLvlStrRef>
              <c:f>DASHBOARD!$K$33:$L$44</c:f>
              <c:multiLvlStrCache>
                <c:ptCount val="10"/>
                <c:lvl>
                  <c:pt idx="0">
                    <c:v>Alejandro Grove</c:v>
                  </c:pt>
                  <c:pt idx="1">
                    <c:v>Andrew Allen</c:v>
                  </c:pt>
                  <c:pt idx="2">
                    <c:v>Brosina Hoffman</c:v>
                  </c:pt>
                  <c:pt idx="3">
                    <c:v>Claire Gute</c:v>
                  </c:pt>
                  <c:pt idx="4">
                    <c:v>Darrin Van Huff</c:v>
                  </c:pt>
                  <c:pt idx="5">
                    <c:v>Harold Pawlan</c:v>
                  </c:pt>
                  <c:pt idx="6">
                    <c:v>Irene Maddox</c:v>
                  </c:pt>
                  <c:pt idx="7">
                    <c:v>Pete Kriz</c:v>
                  </c:pt>
                  <c:pt idx="8">
                    <c:v>Sean O'Donnell</c:v>
                  </c:pt>
                  <c:pt idx="9">
                    <c:v>Zuschuss Donatelli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DASHBOARD!$AB$33:$AB$44</c:f>
              <c:numCache>
                <c:formatCode>General</c:formatCode>
                <c:ptCount val="10"/>
                <c:pt idx="7">
                  <c:v>13.317600000000001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E1B-4DFD-97F7-C9B7FF8D0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2.xlsx]QUESTIONS AND SOLUTIONS!PivotTable6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contributors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'QUESTIONS AND SOLUTIONS'!$B$5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34-4668-B210-D7F4EB363F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34-4668-B210-D7F4EB363F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34-4668-B210-D7F4EB363F3F}"/>
              </c:ext>
            </c:extLst>
          </c:dPt>
          <c:cat>
            <c:strRef>
              <c:f>'QUESTIONS AND SOLUTIONS'!$A$6:$A$9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'QUESTIONS AND SOLUTIONS'!$B$6:$B$9</c:f>
              <c:numCache>
                <c:formatCode>General</c:formatCode>
                <c:ptCount val="3"/>
                <c:pt idx="0">
                  <c:v>3706.5214999999998</c:v>
                </c:pt>
                <c:pt idx="1">
                  <c:v>1402.4939999999999</c:v>
                </c:pt>
                <c:pt idx="2">
                  <c:v>2032.056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E-495E-8002-947CBD3C4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2.xlsx]QUESTIONS AND SOLUTIONS!PivotTable7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Profitable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'QUESTIONS AND SOLUTIONS'!$H$19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'QUESTIONS AND SOLUTIONS'!$G$20:$G$23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'QUESTIONS AND SOLUTIONS'!$H$20:$H$23</c:f>
              <c:numCache>
                <c:formatCode>General</c:formatCode>
                <c:ptCount val="3"/>
                <c:pt idx="0">
                  <c:v>-114.35640000000001</c:v>
                </c:pt>
                <c:pt idx="1">
                  <c:v>-113.57580000000003</c:v>
                </c:pt>
                <c:pt idx="2">
                  <c:v>468.71570000000003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2-4E46-A233-F0EE530EC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900360"/>
        <c:axId val="1804906504"/>
      </c:barChart>
      <c:catAx>
        <c:axId val="180490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06504"/>
        <c:crosses val="autoZero"/>
        <c:auto val="1"/>
        <c:lblAlgn val="ctr"/>
        <c:lblOffset val="100"/>
        <c:noMultiLvlLbl val="0"/>
      </c:catAx>
      <c:valAx>
        <c:axId val="18049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0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0"/>
              <c:pt idx="0">
                <c:v>5/13/2014</c:v>
              </c:pt>
              <c:pt idx="1">
                <c:v>6/9/2014</c:v>
              </c:pt>
              <c:pt idx="2">
                <c:v>8/27/2014</c:v>
              </c:pt>
              <c:pt idx="3">
                <c:v>11/11/2014</c:v>
              </c:pt>
              <c:pt idx="4">
                <c:v>10/11/2015</c:v>
              </c:pt>
              <c:pt idx="5">
                <c:v>11/22/2015</c:v>
              </c:pt>
              <c:pt idx="6">
                <c:v>6/12/2016</c:v>
              </c:pt>
              <c:pt idx="7">
                <c:v>11/8/2016</c:v>
              </c:pt>
              <c:pt idx="8">
                <c:v>12/5/2016</c:v>
              </c:pt>
              <c:pt idx="9">
                <c:v>4/15/2017</c:v>
              </c:pt>
            </c:strLit>
          </c:cat>
          <c:val>
            <c:numLit>
              <c:formatCode>General</c:formatCode>
              <c:ptCount val="10"/>
              <c:pt idx="0">
                <c:v>55.5</c:v>
              </c:pt>
              <c:pt idx="1">
                <c:v>3714.3040000000001</c:v>
              </c:pt>
              <c:pt idx="2">
                <c:v>222.04</c:v>
              </c:pt>
              <c:pt idx="3">
                <c:v>665.88</c:v>
              </c:pt>
              <c:pt idx="4">
                <c:v>979.94550000000004</c:v>
              </c:pt>
              <c:pt idx="5">
                <c:v>71.353999999999999</c:v>
              </c:pt>
              <c:pt idx="6">
                <c:v>14.62</c:v>
              </c:pt>
              <c:pt idx="7">
                <c:v>993.90000000000009</c:v>
              </c:pt>
              <c:pt idx="8">
                <c:v>407.976</c:v>
              </c:pt>
              <c:pt idx="9">
                <c:v>15.552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33C-4133-AA77-856B648EC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037383"/>
        <c:axId val="768039431"/>
      </c:lineChart>
      <c:catAx>
        <c:axId val="7680373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39431"/>
        <c:crosses val="autoZero"/>
        <c:auto val="1"/>
        <c:lblAlgn val="ctr"/>
        <c:lblOffset val="100"/>
        <c:noMultiLvlLbl val="0"/>
      </c:catAx>
      <c:valAx>
        <c:axId val="768039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37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2.xlsx]QUESTIONS AND SOLUTIONS!PivotTable11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'QUESTIONS AND SOLUTIONS'!$B$74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'QUESTIONS AND SOLUTIONS'!$A$75:$A$80</c:f>
              <c:strCache>
                <c:ptCount val="5"/>
                <c:pt idx="0">
                  <c:v>Sean O'Donnell</c:v>
                </c:pt>
                <c:pt idx="1">
                  <c:v>Pete Kriz</c:v>
                </c:pt>
                <c:pt idx="2">
                  <c:v>Irene Maddox</c:v>
                </c:pt>
                <c:pt idx="3">
                  <c:v>Claire Gute</c:v>
                </c:pt>
                <c:pt idx="4">
                  <c:v>Brosina Hoffman</c:v>
                </c:pt>
              </c:strCache>
            </c:strRef>
          </c:cat>
          <c:val>
            <c:numRef>
              <c:f>'QUESTIONS AND SOLUTIONS'!$B$75:$B$80</c:f>
              <c:numCache>
                <c:formatCode>General</c:formatCode>
                <c:ptCount val="5"/>
                <c:pt idx="0">
                  <c:v>979.94550000000004</c:v>
                </c:pt>
                <c:pt idx="1">
                  <c:v>665.88</c:v>
                </c:pt>
                <c:pt idx="2">
                  <c:v>407.976</c:v>
                </c:pt>
                <c:pt idx="3">
                  <c:v>993.90000000000009</c:v>
                </c:pt>
                <c:pt idx="4">
                  <c:v>3714.3040000000001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3-47D2-8F9D-920BBFF26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002760"/>
        <c:axId val="2093004808"/>
      </c:barChart>
      <c:catAx>
        <c:axId val="209300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04808"/>
        <c:crosses val="autoZero"/>
        <c:auto val="1"/>
        <c:lblAlgn val="ctr"/>
        <c:lblOffset val="100"/>
        <c:noMultiLvlLbl val="0"/>
      </c:catAx>
      <c:valAx>
        <c:axId val="209300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0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12</xdr:row>
      <xdr:rowOff>38100</xdr:rowOff>
    </xdr:from>
    <xdr:to>
      <xdr:col>14</xdr:col>
      <xdr:colOff>409575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E650EE-7FC6-38F2-D320-BF979C731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0</xdr:row>
      <xdr:rowOff>0</xdr:rowOff>
    </xdr:from>
    <xdr:to>
      <xdr:col>15</xdr:col>
      <xdr:colOff>733425</xdr:colOff>
      <xdr:row>12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091EFA-1A2F-7EC9-48A7-363B97039B21}"/>
            </a:ext>
            <a:ext uri="{147F2762-F138-4A5C-976F-8EAC2B608ADB}">
              <a16:predDERef xmlns:a16="http://schemas.microsoft.com/office/drawing/2014/main" pred="{31E650EE-7FC6-38F2-D320-BF979C731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638175</xdr:colOff>
      <xdr:row>1</xdr:row>
      <xdr:rowOff>38100</xdr:rowOff>
    </xdr:from>
    <xdr:to>
      <xdr:col>10</xdr:col>
      <xdr:colOff>9525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E902F4-33C8-722F-83CD-434BA2842D49}"/>
            </a:ext>
            <a:ext uri="{147F2762-F138-4A5C-976F-8EAC2B608ADB}">
              <a16:predDERef xmlns:a16="http://schemas.microsoft.com/office/drawing/2014/main" pred="{A4091EFA-1A2F-7EC9-48A7-363B97039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428625</xdr:colOff>
      <xdr:row>17</xdr:row>
      <xdr:rowOff>28575</xdr:rowOff>
    </xdr:from>
    <xdr:to>
      <xdr:col>9</xdr:col>
      <xdr:colOff>257175</xdr:colOff>
      <xdr:row>29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Order Date">
              <a:extLst>
                <a:ext uri="{FF2B5EF4-FFF2-40B4-BE49-F238E27FC236}">
                  <a16:creationId xmlns:a16="http://schemas.microsoft.com/office/drawing/2014/main" id="{C3429ED5-CEC5-273A-4B82-84F0E20A1EB5}"/>
                </a:ext>
                <a:ext uri="{147F2762-F138-4A5C-976F-8EAC2B608ADB}">
                  <a16:predDERef xmlns:a16="http://schemas.microsoft.com/office/drawing/2014/main" pred="{46E902F4-33C8-722F-83CD-434BA2842D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48450" y="3267075"/>
              <a:ext cx="1533525" cy="2257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142875</xdr:colOff>
      <xdr:row>16</xdr:row>
      <xdr:rowOff>180975</xdr:rowOff>
    </xdr:from>
    <xdr:to>
      <xdr:col>4</xdr:col>
      <xdr:colOff>647700</xdr:colOff>
      <xdr:row>27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11E7892A-D172-0C48-74B0-D69E63301853}"/>
                </a:ext>
                <a:ext uri="{147F2762-F138-4A5C-976F-8EAC2B608ADB}">
                  <a16:predDERef xmlns:a16="http://schemas.microsoft.com/office/drawing/2014/main" pred="{C3429ED5-CEC5-273A-4B82-84F0E20A1E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0825" y="3228975"/>
              <a:ext cx="1828800" cy="1924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752475</xdr:colOff>
      <xdr:row>17</xdr:row>
      <xdr:rowOff>38100</xdr:rowOff>
    </xdr:from>
    <xdr:to>
      <xdr:col>7</xdr:col>
      <xdr:colOff>333375</xdr:colOff>
      <xdr:row>26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166CD762-A734-75C9-8C68-CD0B4C2F52A2}"/>
                </a:ext>
                <a:ext uri="{147F2762-F138-4A5C-976F-8EAC2B608ADB}">
                  <a16:predDERef xmlns:a16="http://schemas.microsoft.com/office/drawing/2014/main" pred="{11E7892A-D172-0C48-74B0-D69E633018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4400" y="3276600"/>
              <a:ext cx="1828800" cy="1857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1</xdr:row>
      <xdr:rowOff>9525</xdr:rowOff>
    </xdr:from>
    <xdr:to>
      <xdr:col>4</xdr:col>
      <xdr:colOff>352425</xdr:colOff>
      <xdr:row>7</xdr:row>
      <xdr:rowOff>66675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358C42C-3922-34B3-78F7-9B8CEAE3D8F4}"/>
            </a:ext>
            <a:ext uri="{147F2762-F138-4A5C-976F-8EAC2B608ADB}">
              <a16:predDERef xmlns:a16="http://schemas.microsoft.com/office/drawing/2014/main" pred="{166CD762-A734-75C9-8C68-CD0B4C2F52A2}"/>
            </a:ext>
          </a:extLst>
        </xdr:cNvPr>
        <xdr:cNvSpPr txBox="1"/>
      </xdr:nvSpPr>
      <xdr:spPr>
        <a:xfrm>
          <a:off x="0" y="200025"/>
          <a:ext cx="4324350" cy="12001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1">
              <a:solidFill>
                <a:schemeClr val="dk1"/>
              </a:solidFill>
              <a:latin typeface="+mn-lt"/>
              <a:ea typeface="+mn-lt"/>
              <a:cs typeface="+mn-lt"/>
            </a:rPr>
            <a:t>📊 Sales Performance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38100</xdr:rowOff>
    </xdr:from>
    <xdr:to>
      <xdr:col>8</xdr:col>
      <xdr:colOff>47625</xdr:colOff>
      <xdr:row>2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68078F-E004-00F9-684E-8F83176D7607}"/>
            </a:ext>
          </a:extLst>
        </xdr:cNvPr>
        <xdr:cNvSpPr txBox="1"/>
      </xdr:nvSpPr>
      <xdr:spPr>
        <a:xfrm>
          <a:off x="85725" y="38100"/>
          <a:ext cx="483870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>
              <a:latin typeface="+mn-lt"/>
              <a:ea typeface="+mn-lt"/>
              <a:cs typeface="+mn-lt"/>
            </a:rPr>
            <a:t>Q1. Which product category generates the highest sales?</a:t>
          </a:r>
        </a:p>
      </xdr:txBody>
    </xdr:sp>
    <xdr:clientData/>
  </xdr:twoCellAnchor>
  <xdr:twoCellAnchor>
    <xdr:from>
      <xdr:col>2</xdr:col>
      <xdr:colOff>95250</xdr:colOff>
      <xdr:row>3</xdr:row>
      <xdr:rowOff>47625</xdr:rowOff>
    </xdr:from>
    <xdr:to>
      <xdr:col>8</xdr:col>
      <xdr:colOff>123825</xdr:colOff>
      <xdr:row>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3F48A7-86F0-2625-594B-2173BAFC5C04}"/>
            </a:ext>
            <a:ext uri="{147F2762-F138-4A5C-976F-8EAC2B608ADB}">
              <a16:predDERef xmlns:a16="http://schemas.microsoft.com/office/drawing/2014/main" pred="{6868078F-E004-00F9-684E-8F83176D7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14</xdr:row>
      <xdr:rowOff>19050</xdr:rowOff>
    </xdr:from>
    <xdr:to>
      <xdr:col>6</xdr:col>
      <xdr:colOff>295275</xdr:colOff>
      <xdr:row>16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5FCD84-EA55-FE75-FF4E-791202EEB800}"/>
            </a:ext>
            <a:ext uri="{147F2762-F138-4A5C-976F-8EAC2B608ADB}">
              <a16:predDERef xmlns:a16="http://schemas.microsoft.com/office/drawing/2014/main" pred="{473F48A7-86F0-2625-594B-2173BAFC5C04}"/>
            </a:ext>
          </a:extLst>
        </xdr:cNvPr>
        <xdr:cNvSpPr txBox="1"/>
      </xdr:nvSpPr>
      <xdr:spPr>
        <a:xfrm>
          <a:off x="57150" y="2686050"/>
          <a:ext cx="44196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>
              <a:latin typeface="+mn-lt"/>
              <a:ea typeface="+mn-lt"/>
              <a:cs typeface="+mn-lt"/>
            </a:rPr>
            <a:t>Q2. Which region is most profitable?</a:t>
          </a:r>
        </a:p>
      </xdr:txBody>
    </xdr:sp>
    <xdr:clientData/>
  </xdr:twoCellAnchor>
  <xdr:twoCellAnchor>
    <xdr:from>
      <xdr:col>0</xdr:col>
      <xdr:colOff>28575</xdr:colOff>
      <xdr:row>32</xdr:row>
      <xdr:rowOff>19050</xdr:rowOff>
    </xdr:from>
    <xdr:to>
      <xdr:col>6</xdr:col>
      <xdr:colOff>142875</xdr:colOff>
      <xdr:row>35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82F9F56-329A-4C9B-8A14-DA03E20FFDD6}"/>
            </a:ext>
            <a:ext uri="{147F2762-F138-4A5C-976F-8EAC2B608ADB}">
              <a16:predDERef xmlns:a16="http://schemas.microsoft.com/office/drawing/2014/main" pred="{325FCD84-EA55-FE75-FF4E-791202EEB800}"/>
            </a:ext>
          </a:extLst>
        </xdr:cNvPr>
        <xdr:cNvSpPr txBox="1"/>
      </xdr:nvSpPr>
      <xdr:spPr>
        <a:xfrm>
          <a:off x="28575" y="6115050"/>
          <a:ext cx="4295775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>
              <a:latin typeface="+mn-lt"/>
              <a:ea typeface="+mn-lt"/>
              <a:cs typeface="+mn-lt"/>
            </a:rPr>
            <a:t>Q</a:t>
          </a:r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3</a:t>
          </a:r>
          <a:r>
            <a:rPr lang="en-US" sz="1800">
              <a:latin typeface="+mn-lt"/>
              <a:ea typeface="+mn-lt"/>
              <a:cs typeface="+mn-lt"/>
            </a:rPr>
            <a:t>. How do sales trends vary over months and years?</a:t>
          </a:r>
        </a:p>
      </xdr:txBody>
    </xdr:sp>
    <xdr:clientData/>
  </xdr:twoCellAnchor>
  <xdr:twoCellAnchor>
    <xdr:from>
      <xdr:col>0</xdr:col>
      <xdr:colOff>38100</xdr:colOff>
      <xdr:row>16</xdr:row>
      <xdr:rowOff>114300</xdr:rowOff>
    </xdr:from>
    <xdr:to>
      <xdr:col>5</xdr:col>
      <xdr:colOff>495300</xdr:colOff>
      <xdr:row>29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A9DB08-0F23-9AC6-594B-3DCC4B714CC5}"/>
            </a:ext>
            <a:ext uri="{147F2762-F138-4A5C-976F-8EAC2B608ADB}">
              <a16:predDERef xmlns:a16="http://schemas.microsoft.com/office/drawing/2014/main" pred="{782F9F56-329A-4C9B-8A14-DA03E20FF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36</xdr:row>
      <xdr:rowOff>66675</xdr:rowOff>
    </xdr:from>
    <xdr:to>
      <xdr:col>5</xdr:col>
      <xdr:colOff>581025</xdr:colOff>
      <xdr:row>49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35C834-A239-9C69-C108-8B66295AB389}"/>
            </a:ext>
            <a:ext uri="{147F2762-F138-4A5C-976F-8EAC2B608ADB}">
              <a16:predDERef xmlns:a16="http://schemas.microsoft.com/office/drawing/2014/main" pred="{E8A9DB08-0F23-9AC6-594B-3DCC4B714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51</xdr:row>
      <xdr:rowOff>76200</xdr:rowOff>
    </xdr:from>
    <xdr:to>
      <xdr:col>6</xdr:col>
      <xdr:colOff>485775</xdr:colOff>
      <xdr:row>55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9CA1CCE-5AC5-D54F-0272-054F3E5B68A3}"/>
            </a:ext>
            <a:ext uri="{147F2762-F138-4A5C-976F-8EAC2B608ADB}">
              <a16:predDERef xmlns:a16="http://schemas.microsoft.com/office/drawing/2014/main" pred="{0935C834-A239-9C69-C108-8B66295AB389}"/>
            </a:ext>
          </a:extLst>
        </xdr:cNvPr>
        <xdr:cNvSpPr txBox="1"/>
      </xdr:nvSpPr>
      <xdr:spPr>
        <a:xfrm>
          <a:off x="19050" y="9791700"/>
          <a:ext cx="4648200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>
              <a:latin typeface="+mn-lt"/>
              <a:ea typeface="+mn-lt"/>
              <a:cs typeface="+mn-lt"/>
            </a:rPr>
            <a:t>Q</a:t>
          </a:r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4</a:t>
          </a:r>
          <a:r>
            <a:rPr lang="en-US" sz="1800">
              <a:latin typeface="+mn-lt"/>
              <a:ea typeface="+mn-lt"/>
              <a:cs typeface="+mn-lt"/>
            </a:rPr>
            <a:t>. Which sub-categories give high sales but low profit (unprofitable products)?</a:t>
          </a:r>
        </a:p>
      </xdr:txBody>
    </xdr:sp>
    <xdr:clientData/>
  </xdr:twoCellAnchor>
  <xdr:twoCellAnchor>
    <xdr:from>
      <xdr:col>0</xdr:col>
      <xdr:colOff>28575</xdr:colOff>
      <xdr:row>69</xdr:row>
      <xdr:rowOff>123825</xdr:rowOff>
    </xdr:from>
    <xdr:to>
      <xdr:col>5</xdr:col>
      <xdr:colOff>228600</xdr:colOff>
      <xdr:row>72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C266B4F-A589-D4E2-3B97-DD5F7776890D}"/>
            </a:ext>
            <a:ext uri="{147F2762-F138-4A5C-976F-8EAC2B608ADB}">
              <a16:predDERef xmlns:a16="http://schemas.microsoft.com/office/drawing/2014/main" pred="{19CA1CCE-5AC5-D54F-0272-054F3E5B68A3}"/>
            </a:ext>
          </a:extLst>
        </xdr:cNvPr>
        <xdr:cNvSpPr txBox="1"/>
      </xdr:nvSpPr>
      <xdr:spPr>
        <a:xfrm>
          <a:off x="28575" y="13268325"/>
          <a:ext cx="412432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Q5.</a:t>
          </a:r>
          <a:r>
            <a:rPr lang="en-US" sz="1600">
              <a:latin typeface="+mn-lt"/>
              <a:ea typeface="+mn-lt"/>
              <a:cs typeface="+mn-lt"/>
            </a:rPr>
            <a:t>Who are the top 5 customers by sales?</a:t>
          </a:r>
        </a:p>
      </xdr:txBody>
    </xdr:sp>
    <xdr:clientData/>
  </xdr:twoCellAnchor>
  <xdr:twoCellAnchor>
    <xdr:from>
      <xdr:col>2</xdr:col>
      <xdr:colOff>228600</xdr:colOff>
      <xdr:row>72</xdr:row>
      <xdr:rowOff>123825</xdr:rowOff>
    </xdr:from>
    <xdr:to>
      <xdr:col>8</xdr:col>
      <xdr:colOff>323850</xdr:colOff>
      <xdr:row>87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8881681-2F7E-640E-1BF8-1EB10D9C1D45}"/>
            </a:ext>
            <a:ext uri="{147F2762-F138-4A5C-976F-8EAC2B608ADB}">
              <a16:predDERef xmlns:a16="http://schemas.microsoft.com/office/drawing/2014/main" pred="{FC266B4F-A589-D4E2-3B97-DD5F77768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6.601167361114" createdVersion="8" refreshedVersion="8" minRefreshableVersion="3" recordCount="20" xr:uid="{1BD16629-3D9A-4B39-B6D0-BADC7EF3B268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20"/>
    </cacheField>
    <cacheField name="Order ID" numFmtId="0">
      <sharedItems/>
    </cacheField>
    <cacheField name="Order Date" numFmtId="14">
      <sharedItems containsSemiMixedTypes="0" containsNonDate="0" containsDate="1" containsString="0" minDate="2014-05-13T00:00:00" maxDate="2017-04-16T00:00:00" count="10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</sharedItems>
    </cacheField>
    <cacheField name="Ship Date" numFmtId="14">
      <sharedItems containsSemiMixedTypes="0" containsNonDate="0" containsDate="1" containsString="0" minDate="2014-05-15T00:00:00" maxDate="2017-04-21T00:00:00"/>
    </cacheField>
    <cacheField name="Ship Mode" numFmtId="0">
      <sharedItems/>
    </cacheField>
    <cacheField name="Customer ID" numFmtId="0">
      <sharedItems count="10">
        <s v="CG-12520"/>
        <s v="DV-13045"/>
        <s v="SO-20335"/>
        <s v="BH-11710"/>
        <s v="AA-10480"/>
        <s v="IM-15070"/>
        <s v="HP-14815"/>
        <s v="PK-19075"/>
        <s v="AG-10270"/>
        <s v="ZD-21925"/>
      </sharedItems>
    </cacheField>
    <cacheField name="Customer Name" numFmtId="0">
      <sharedItems count="10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</sharedItems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8">
        <s v="Kentucky"/>
        <s v="California"/>
        <s v="Florida"/>
        <s v="North Carolina"/>
        <s v="Washington"/>
        <s v="Texas"/>
        <s v="Wisconsin"/>
        <s v="Utah"/>
      </sharedItems>
    </cacheField>
    <cacheField name="Postal Code" numFmtId="0">
      <sharedItems containsSemiMixedTypes="0" containsString="0" containsNumber="1" containsInteger="1" minValue="28027" maxValue="98103"/>
    </cacheField>
    <cacheField name="Region" numFmtId="0">
      <sharedItems count="3">
        <s v="South"/>
        <s v="West"/>
        <s v="Central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</sharedItems>
    </cacheField>
    <cacheField name="Product Name" numFmtId="0">
      <sharedItems/>
    </cacheField>
    <cacheField name="Sales" numFmtId="0">
      <sharedItems containsSemiMixedTypes="0" containsString="0" containsNumber="1" minValue="2.544" maxValue="1706.184" count="20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</sharedItems>
    </cacheField>
    <cacheField name="Quantity" numFmtId="0">
      <sharedItems containsSemiMixedTypes="0" containsString="0" containsNumber="1" containsInteger="1" minValue="2" maxValue="9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.03100000000001" maxValue="219.58199999999999" count="20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</sharedItems>
    </cacheField>
  </cacheFields>
  <extLst>
    <ext xmlns:x14="http://schemas.microsoft.com/office/spreadsheetml/2009/9/main" uri="{725AE2AE-9491-48be-B2B4-4EB974FC3084}">
      <x14:pivotCacheDefinition pivotCacheId="167374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CA-2016-152156"/>
    <x v="0"/>
    <d v="2016-11-11T00:00:00"/>
    <s v="Second Class"/>
    <x v="0"/>
    <x v="0"/>
    <s v="Consumer"/>
    <x v="0"/>
    <s v="Henderson"/>
    <x v="0"/>
    <n v="42420"/>
    <x v="0"/>
    <s v="FUR-BO-10001798"/>
    <x v="0"/>
    <x v="0"/>
    <s v="Bush Somerset Collection Bookcase"/>
    <x v="0"/>
    <n v="2"/>
    <n v="0"/>
    <x v="0"/>
  </r>
  <r>
    <n v="2"/>
    <s v="CA-2016-152156"/>
    <x v="0"/>
    <d v="2016-11-11T00:00:00"/>
    <s v="Second Class"/>
    <x v="0"/>
    <x v="0"/>
    <s v="Consumer"/>
    <x v="0"/>
    <s v="Henderson"/>
    <x v="0"/>
    <n v="42420"/>
    <x v="0"/>
    <s v="FUR-CH-10000454"/>
    <x v="0"/>
    <x v="1"/>
    <s v="Hon Deluxe Fabric Upholstered Stacking Chairs, Rounded Back"/>
    <x v="1"/>
    <n v="3"/>
    <n v="0"/>
    <x v="1"/>
  </r>
  <r>
    <n v="3"/>
    <s v="CA-2016-138688"/>
    <x v="1"/>
    <d v="2016-06-16T00:00:00"/>
    <s v="Second Class"/>
    <x v="1"/>
    <x v="1"/>
    <s v="Corporate"/>
    <x v="0"/>
    <s v="Los Angeles"/>
    <x v="1"/>
    <n v="90036"/>
    <x v="1"/>
    <s v="OFF-LA-10000240"/>
    <x v="1"/>
    <x v="2"/>
    <s v="Self-Adhesive Address Labels for Typewriters by Universal"/>
    <x v="2"/>
    <n v="2"/>
    <n v="0"/>
    <x v="2"/>
  </r>
  <r>
    <n v="4"/>
    <s v="US-2015-108966"/>
    <x v="2"/>
    <d v="2015-10-18T00:00:00"/>
    <s v="Standard Class"/>
    <x v="2"/>
    <x v="2"/>
    <s v="Consumer"/>
    <x v="0"/>
    <s v="Fort Lauderdale"/>
    <x v="2"/>
    <n v="33311"/>
    <x v="0"/>
    <s v="FUR-TA-10000577"/>
    <x v="0"/>
    <x v="3"/>
    <s v="Bretford CR4500 Series Slim Rectangular Table"/>
    <x v="3"/>
    <n v="5"/>
    <n v="0.45"/>
    <x v="3"/>
  </r>
  <r>
    <n v="5"/>
    <s v="US-2015-108966"/>
    <x v="2"/>
    <d v="2015-10-18T00:00:00"/>
    <s v="Standard Class"/>
    <x v="2"/>
    <x v="2"/>
    <s v="Consumer"/>
    <x v="0"/>
    <s v="Fort Lauderdale"/>
    <x v="2"/>
    <n v="33311"/>
    <x v="0"/>
    <s v="OFF-ST-10000760"/>
    <x v="1"/>
    <x v="4"/>
    <s v="Eldon Fold 'N Roll Cart System"/>
    <x v="4"/>
    <n v="2"/>
    <n v="0.2"/>
    <x v="4"/>
  </r>
  <r>
    <n v="6"/>
    <s v="CA-2014-115812"/>
    <x v="3"/>
    <d v="2014-06-14T00:00:00"/>
    <s v="Standard Class"/>
    <x v="3"/>
    <x v="3"/>
    <s v="Consumer"/>
    <x v="0"/>
    <s v="Los Angeles"/>
    <x v="1"/>
    <n v="90032"/>
    <x v="1"/>
    <s v="FUR-FU-10001487"/>
    <x v="0"/>
    <x v="5"/>
    <s v="Eldon Expressions Wood and Plastic Desk Accessories, Cherry Wood"/>
    <x v="5"/>
    <n v="7"/>
    <n v="0"/>
    <x v="5"/>
  </r>
  <r>
    <n v="7"/>
    <s v="CA-2014-115812"/>
    <x v="3"/>
    <d v="2014-06-14T00:00:00"/>
    <s v="Standard Class"/>
    <x v="3"/>
    <x v="3"/>
    <s v="Consumer"/>
    <x v="0"/>
    <s v="Los Angeles"/>
    <x v="1"/>
    <n v="90032"/>
    <x v="1"/>
    <s v="OFF-AR-10002833"/>
    <x v="1"/>
    <x v="6"/>
    <s v="Newell 322"/>
    <x v="6"/>
    <n v="4"/>
    <n v="0"/>
    <x v="6"/>
  </r>
  <r>
    <n v="8"/>
    <s v="CA-2014-115812"/>
    <x v="3"/>
    <d v="2014-06-14T00:00:00"/>
    <s v="Standard Class"/>
    <x v="3"/>
    <x v="3"/>
    <s v="Consumer"/>
    <x v="0"/>
    <s v="Los Angeles"/>
    <x v="1"/>
    <n v="90032"/>
    <x v="1"/>
    <s v="TEC-PH-10002275"/>
    <x v="2"/>
    <x v="7"/>
    <s v="Mitel 5320 IP Phone VoIP phone"/>
    <x v="7"/>
    <n v="6"/>
    <n v="0.2"/>
    <x v="7"/>
  </r>
  <r>
    <n v="9"/>
    <s v="CA-2014-115812"/>
    <x v="3"/>
    <d v="2014-06-14T00:00:00"/>
    <s v="Standard Class"/>
    <x v="3"/>
    <x v="3"/>
    <s v="Consumer"/>
    <x v="0"/>
    <s v="Los Angeles"/>
    <x v="1"/>
    <n v="90032"/>
    <x v="1"/>
    <s v="OFF-BI-10003910"/>
    <x v="1"/>
    <x v="8"/>
    <s v="DXL Angle-View Binders with Locking Rings by Samsill"/>
    <x v="8"/>
    <n v="3"/>
    <n v="0.2"/>
    <x v="8"/>
  </r>
  <r>
    <n v="10"/>
    <s v="CA-2014-115812"/>
    <x v="3"/>
    <d v="2014-06-14T00:00:00"/>
    <s v="Standard Class"/>
    <x v="3"/>
    <x v="3"/>
    <s v="Consumer"/>
    <x v="0"/>
    <s v="Los Angeles"/>
    <x v="1"/>
    <n v="90032"/>
    <x v="1"/>
    <s v="OFF-AP-10002892"/>
    <x v="1"/>
    <x v="9"/>
    <s v="Belkin F5C206VTEL 6 Outlet Surge"/>
    <x v="9"/>
    <n v="5"/>
    <n v="0"/>
    <x v="9"/>
  </r>
  <r>
    <n v="11"/>
    <s v="CA-2014-115812"/>
    <x v="3"/>
    <d v="2014-06-14T00:00:00"/>
    <s v="Standard Class"/>
    <x v="3"/>
    <x v="3"/>
    <s v="Consumer"/>
    <x v="0"/>
    <s v="Los Angeles"/>
    <x v="1"/>
    <n v="90032"/>
    <x v="1"/>
    <s v="FUR-TA-10001539"/>
    <x v="0"/>
    <x v="3"/>
    <s v="Chromcraft Rectangular Conference Tables"/>
    <x v="10"/>
    <n v="9"/>
    <n v="0.2"/>
    <x v="10"/>
  </r>
  <r>
    <n v="12"/>
    <s v="CA-2014-115812"/>
    <x v="3"/>
    <d v="2014-06-14T00:00:00"/>
    <s v="Standard Class"/>
    <x v="3"/>
    <x v="3"/>
    <s v="Consumer"/>
    <x v="0"/>
    <s v="Los Angeles"/>
    <x v="1"/>
    <n v="90032"/>
    <x v="1"/>
    <s v="TEC-PH-10002033"/>
    <x v="2"/>
    <x v="7"/>
    <s v="Konftel 250 Conference phone - Charcoal black"/>
    <x v="11"/>
    <n v="4"/>
    <n v="0.2"/>
    <x v="11"/>
  </r>
  <r>
    <n v="13"/>
    <s v="CA-2017-114412"/>
    <x v="4"/>
    <d v="2017-04-20T00:00:00"/>
    <s v="Standard Class"/>
    <x v="4"/>
    <x v="4"/>
    <s v="Consumer"/>
    <x v="0"/>
    <s v="Concord"/>
    <x v="3"/>
    <n v="28027"/>
    <x v="0"/>
    <s v="OFF-PA-10002365"/>
    <x v="1"/>
    <x v="10"/>
    <s v="Xerox 1967"/>
    <x v="12"/>
    <n v="3"/>
    <n v="0.2"/>
    <x v="12"/>
  </r>
  <r>
    <n v="14"/>
    <s v="CA-2016-161389"/>
    <x v="5"/>
    <d v="2016-12-10T00:00:00"/>
    <s v="Standard Class"/>
    <x v="5"/>
    <x v="5"/>
    <s v="Consumer"/>
    <x v="0"/>
    <s v="Seattle"/>
    <x v="4"/>
    <n v="98103"/>
    <x v="1"/>
    <s v="OFF-BI-10003656"/>
    <x v="1"/>
    <x v="8"/>
    <s v="Fellowes PB200 Plastic Comb Binding Machine"/>
    <x v="13"/>
    <n v="3"/>
    <n v="0.2"/>
    <x v="13"/>
  </r>
  <r>
    <n v="15"/>
    <s v="US-2015-118983"/>
    <x v="6"/>
    <d v="2015-11-26T00:00:00"/>
    <s v="Standard Class"/>
    <x v="6"/>
    <x v="6"/>
    <s v="Home Office"/>
    <x v="0"/>
    <s v="Fort Worth"/>
    <x v="5"/>
    <n v="76106"/>
    <x v="2"/>
    <s v="OFF-AP-10002311"/>
    <x v="1"/>
    <x v="9"/>
    <s v="Holmes Replacement Filter for HEPA Air Cleaner, Very Large Room, HEPA Filter"/>
    <x v="14"/>
    <n v="5"/>
    <n v="0.8"/>
    <x v="14"/>
  </r>
  <r>
    <n v="16"/>
    <s v="US-2015-118983"/>
    <x v="6"/>
    <d v="2015-11-26T00:00:00"/>
    <s v="Standard Class"/>
    <x v="6"/>
    <x v="6"/>
    <s v="Home Office"/>
    <x v="0"/>
    <s v="Fort Worth"/>
    <x v="5"/>
    <n v="76106"/>
    <x v="2"/>
    <s v="OFF-BI-10000756"/>
    <x v="1"/>
    <x v="8"/>
    <s v="Storex DuraTech Recycled Plastic Frosted Binders"/>
    <x v="15"/>
    <n v="3"/>
    <n v="0.8"/>
    <x v="15"/>
  </r>
  <r>
    <n v="17"/>
    <s v="CA-2014-105893"/>
    <x v="7"/>
    <d v="2014-11-18T00:00:00"/>
    <s v="Standard Class"/>
    <x v="7"/>
    <x v="7"/>
    <s v="Consumer"/>
    <x v="0"/>
    <s v="Madison"/>
    <x v="6"/>
    <n v="53711"/>
    <x v="2"/>
    <s v="OFF-ST-10004186"/>
    <x v="1"/>
    <x v="4"/>
    <s v="Stur-D-Stor Shelving, Vertical 5-Shelf: 72&quot;H x 36&quot;W x 18 1/2&quot;D"/>
    <x v="16"/>
    <n v="6"/>
    <n v="0"/>
    <x v="16"/>
  </r>
  <r>
    <n v="18"/>
    <s v="CA-2014-167164"/>
    <x v="8"/>
    <d v="2014-05-15T00:00:00"/>
    <s v="Second Class"/>
    <x v="8"/>
    <x v="8"/>
    <s v="Consumer"/>
    <x v="0"/>
    <s v="West Jordan"/>
    <x v="7"/>
    <n v="84084"/>
    <x v="1"/>
    <s v="OFF-ST-10000107"/>
    <x v="1"/>
    <x v="4"/>
    <s v="Fellowes Super Stor/Drawer"/>
    <x v="17"/>
    <n v="2"/>
    <n v="0"/>
    <x v="17"/>
  </r>
  <r>
    <n v="19"/>
    <s v="CA-2014-143336"/>
    <x v="9"/>
    <d v="2014-09-01T00:00:00"/>
    <s v="Second Class"/>
    <x v="9"/>
    <x v="9"/>
    <s v="Consumer"/>
    <x v="0"/>
    <s v="San Francisco"/>
    <x v="1"/>
    <n v="94109"/>
    <x v="1"/>
    <s v="OFF-AR-10003056"/>
    <x v="1"/>
    <x v="6"/>
    <s v="Newell 341"/>
    <x v="18"/>
    <n v="2"/>
    <n v="0"/>
    <x v="18"/>
  </r>
  <r>
    <n v="20"/>
    <s v="CA-2014-143336"/>
    <x v="9"/>
    <d v="2014-09-01T00:00:00"/>
    <s v="Second Class"/>
    <x v="9"/>
    <x v="9"/>
    <s v="Consumer"/>
    <x v="0"/>
    <s v="San Francisco"/>
    <x v="1"/>
    <n v="94109"/>
    <x v="1"/>
    <s v="TEC-PH-10001949"/>
    <x v="2"/>
    <x v="7"/>
    <s v="Cisco SPA 501G IP Phone"/>
    <x v="19"/>
    <n v="3"/>
    <n v="0.2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271BC-7861-4A62-AA66-276B9E52FCA6}" name="PivotTable3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30:AD44" firstHeaderRow="1" firstDataRow="3" firstDataCol="2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11">
        <item x="8"/>
        <item x="4"/>
        <item x="3"/>
        <item x="0"/>
        <item x="1"/>
        <item x="6"/>
        <item x="5"/>
        <item x="7"/>
        <item x="2"/>
        <item x="9"/>
        <item t="default"/>
      </items>
    </pivotField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axis="axisCol" compact="0" outline="0" showAll="0">
      <items count="9">
        <item x="1"/>
        <item x="2"/>
        <item x="0"/>
        <item x="3"/>
        <item x="5"/>
        <item x="7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2">
    <field x="8"/>
    <field x="6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 t="grand">
      <x/>
    </i>
  </rowItems>
  <colFields count="2">
    <field x="10"/>
    <field x="-2"/>
  </colFields>
  <colItems count="1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 t="grand">
      <x/>
    </i>
    <i t="grand" i="1">
      <x/>
    </i>
  </colItems>
  <dataFields count="2">
    <dataField name="Sum of Sales" fld="17" baseField="0" baseItem="0"/>
    <dataField name="Sum of Profit" fld="20" baseField="0" baseItem="0"/>
  </dataFields>
  <chartFormats count="17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7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1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1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0">
      <pivotArea type="data" outline="0" fieldPosition="0">
        <references count="4">
          <reference field="429496729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1">
      <pivotArea type="data" outline="0" fieldPosition="0">
        <references count="4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2">
      <pivotArea type="data" outline="0" fieldPosition="0">
        <references count="4">
          <reference field="4294967294" count="1" selected="0">
            <x v="0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3">
      <pivotArea type="data" outline="0" fieldPosition="0">
        <references count="4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4">
      <pivotArea type="data" outline="0" fieldPosition="0">
        <references count="4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5">
      <pivotArea type="data" outline="0" fieldPosition="0">
        <references count="4">
          <reference field="4294967294" count="1" selected="0">
            <x v="0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6">
      <pivotArea type="data" outline="0" fieldPosition="0">
        <references count="4">
          <reference field="4294967294" count="1" selected="0">
            <x v="0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7">
      <pivotArea type="data" outline="0" fieldPosition="0">
        <references count="4">
          <reference field="4294967294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8">
      <pivotArea type="data" outline="0" fieldPosition="0">
        <references count="4">
          <reference field="4294967294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29">
      <pivotArea type="data" outline="0" fieldPosition="0">
        <references count="4">
          <reference field="4294967294" count="1" selected="0">
            <x v="1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30">
      <pivotArea type="data" outline="0" fieldPosition="0">
        <references count="4">
          <reference field="4294967294" count="1" selected="0">
            <x v="1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31">
      <pivotArea type="data" outline="0" fieldPosition="0">
        <references count="4">
          <reference field="429496729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32">
      <pivotArea type="data" outline="0" fieldPosition="0">
        <references count="4">
          <reference field="429496729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33">
      <pivotArea type="data" outline="0" fieldPosition="0">
        <references count="4">
          <reference field="4294967294" count="1" selected="0">
            <x v="1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34">
      <pivotArea type="data" outline="0" fieldPosition="0">
        <references count="4">
          <reference field="4294967294" count="1" selected="0">
            <x v="1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35">
      <pivotArea type="data" outline="0" fieldPosition="0">
        <references count="4">
          <reference field="4294967294" count="1" selected="0">
            <x v="1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36">
      <pivotArea type="data" outline="0" fieldPosition="0">
        <references count="4">
          <reference field="4294967294" count="1" selected="0">
            <x v="1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0" format="3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3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3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0">
      <pivotArea type="data" outline="0" fieldPosition="0">
        <references count="4">
          <reference field="429496729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1">
      <pivotArea type="data" outline="0" fieldPosition="0">
        <references count="4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2">
      <pivotArea type="data" outline="0" fieldPosition="0">
        <references count="4">
          <reference field="4294967294" count="1" selected="0">
            <x v="0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3">
      <pivotArea type="data" outline="0" fieldPosition="0">
        <references count="4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4">
      <pivotArea type="data" outline="0" fieldPosition="0">
        <references count="4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5">
      <pivotArea type="data" outline="0" fieldPosition="0">
        <references count="4">
          <reference field="4294967294" count="1" selected="0">
            <x v="0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6">
      <pivotArea type="data" outline="0" fieldPosition="0">
        <references count="4">
          <reference field="4294967294" count="1" selected="0">
            <x v="0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7">
      <pivotArea type="data" outline="0" fieldPosition="0">
        <references count="4">
          <reference field="4294967294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8">
      <pivotArea type="data" outline="0" fieldPosition="0">
        <references count="4">
          <reference field="4294967294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49">
      <pivotArea type="data" outline="0" fieldPosition="0">
        <references count="4">
          <reference field="4294967294" count="1" selected="0">
            <x v="1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50">
      <pivotArea type="data" outline="0" fieldPosition="0">
        <references count="4">
          <reference field="4294967294" count="1" selected="0">
            <x v="1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51">
      <pivotArea type="data" outline="0" fieldPosition="0">
        <references count="4">
          <reference field="429496729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52">
      <pivotArea type="data" outline="0" fieldPosition="0">
        <references count="4">
          <reference field="429496729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53">
      <pivotArea type="data" outline="0" fieldPosition="0">
        <references count="4">
          <reference field="4294967294" count="1" selected="0">
            <x v="1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54">
      <pivotArea type="data" outline="0" fieldPosition="0">
        <references count="4">
          <reference field="4294967294" count="1" selected="0">
            <x v="1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55">
      <pivotArea type="data" outline="0" fieldPosition="0">
        <references count="4">
          <reference field="4294967294" count="1" selected="0">
            <x v="1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56">
      <pivotArea type="data" outline="0" fieldPosition="0">
        <references count="4">
          <reference field="4294967294" count="1" selected="0">
            <x v="1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5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5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5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0">
      <pivotArea type="data" outline="0" fieldPosition="0">
        <references count="4">
          <reference field="429496729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1">
      <pivotArea type="data" outline="0" fieldPosition="0">
        <references count="4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2">
      <pivotArea type="data" outline="0" fieldPosition="0">
        <references count="4">
          <reference field="4294967294" count="1" selected="0">
            <x v="0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3">
      <pivotArea type="data" outline="0" fieldPosition="0">
        <references count="4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4">
      <pivotArea type="data" outline="0" fieldPosition="0">
        <references count="4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5">
      <pivotArea type="data" outline="0" fieldPosition="0">
        <references count="4">
          <reference field="4294967294" count="1" selected="0">
            <x v="0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6">
      <pivotArea type="data" outline="0" fieldPosition="0">
        <references count="4">
          <reference field="4294967294" count="1" selected="0">
            <x v="0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7">
      <pivotArea type="data" outline="0" fieldPosition="0">
        <references count="4">
          <reference field="4294967294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8">
      <pivotArea type="data" outline="0" fieldPosition="0">
        <references count="4">
          <reference field="4294967294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69">
      <pivotArea type="data" outline="0" fieldPosition="0">
        <references count="4">
          <reference field="4294967294" count="1" selected="0">
            <x v="1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70">
      <pivotArea type="data" outline="0" fieldPosition="0">
        <references count="4">
          <reference field="4294967294" count="1" selected="0">
            <x v="1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71">
      <pivotArea type="data" outline="0" fieldPosition="0">
        <references count="4">
          <reference field="429496729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72">
      <pivotArea type="data" outline="0" fieldPosition="0">
        <references count="4">
          <reference field="429496729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73">
      <pivotArea type="data" outline="0" fieldPosition="0">
        <references count="4">
          <reference field="4294967294" count="1" selected="0">
            <x v="1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74">
      <pivotArea type="data" outline="0" fieldPosition="0">
        <references count="4">
          <reference field="4294967294" count="1" selected="0">
            <x v="1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75">
      <pivotArea type="data" outline="0" fieldPosition="0">
        <references count="4">
          <reference field="4294967294" count="1" selected="0">
            <x v="1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76">
      <pivotArea type="data" outline="0" fieldPosition="0">
        <references count="4">
          <reference field="4294967294" count="1" selected="0">
            <x v="1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7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7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7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0">
      <pivotArea type="data" outline="0" fieldPosition="0">
        <references count="4">
          <reference field="429496729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1">
      <pivotArea type="data" outline="0" fieldPosition="0">
        <references count="4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2">
      <pivotArea type="data" outline="0" fieldPosition="0">
        <references count="4">
          <reference field="4294967294" count="1" selected="0">
            <x v="0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3">
      <pivotArea type="data" outline="0" fieldPosition="0">
        <references count="4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4">
      <pivotArea type="data" outline="0" fieldPosition="0">
        <references count="4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5">
      <pivotArea type="data" outline="0" fieldPosition="0">
        <references count="4">
          <reference field="4294967294" count="1" selected="0">
            <x v="0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6">
      <pivotArea type="data" outline="0" fieldPosition="0">
        <references count="4">
          <reference field="4294967294" count="1" selected="0">
            <x v="0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7">
      <pivotArea type="data" outline="0" fieldPosition="0">
        <references count="4">
          <reference field="4294967294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8">
      <pivotArea type="data" outline="0" fieldPosition="0">
        <references count="4">
          <reference field="4294967294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89">
      <pivotArea type="data" outline="0" fieldPosition="0">
        <references count="4">
          <reference field="4294967294" count="1" selected="0">
            <x v="1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90">
      <pivotArea type="data" outline="0" fieldPosition="0">
        <references count="4">
          <reference field="4294967294" count="1" selected="0">
            <x v="1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91">
      <pivotArea type="data" outline="0" fieldPosition="0">
        <references count="4">
          <reference field="429496729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92">
      <pivotArea type="data" outline="0" fieldPosition="0">
        <references count="4">
          <reference field="429496729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93">
      <pivotArea type="data" outline="0" fieldPosition="0">
        <references count="4">
          <reference field="4294967294" count="1" selected="0">
            <x v="1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94">
      <pivotArea type="data" outline="0" fieldPosition="0">
        <references count="4">
          <reference field="4294967294" count="1" selected="0">
            <x v="1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95">
      <pivotArea type="data" outline="0" fieldPosition="0">
        <references count="4">
          <reference field="4294967294" count="1" selected="0">
            <x v="1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96">
      <pivotArea type="data" outline="0" fieldPosition="0">
        <references count="4">
          <reference field="4294967294" count="1" selected="0">
            <x v="1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3"/>
          </reference>
        </references>
      </pivotArea>
    </chartFormat>
    <chartFormat chart="0" format="9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9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9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0">
      <pivotArea type="data" outline="0" fieldPosition="0">
        <references count="4">
          <reference field="429496729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1">
      <pivotArea type="data" outline="0" fieldPosition="0">
        <references count="4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2">
      <pivotArea type="data" outline="0" fieldPosition="0">
        <references count="4">
          <reference field="4294967294" count="1" selected="0">
            <x v="0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3">
      <pivotArea type="data" outline="0" fieldPosition="0">
        <references count="4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4">
      <pivotArea type="data" outline="0" fieldPosition="0">
        <references count="4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5">
      <pivotArea type="data" outline="0" fieldPosition="0">
        <references count="4">
          <reference field="4294967294" count="1" selected="0">
            <x v="0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6">
      <pivotArea type="data" outline="0" fieldPosition="0">
        <references count="4">
          <reference field="4294967294" count="1" selected="0">
            <x v="0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7">
      <pivotArea type="data" outline="0" fieldPosition="0">
        <references count="4">
          <reference field="4294967294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8">
      <pivotArea type="data" outline="0" fieldPosition="0">
        <references count="4">
          <reference field="4294967294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09">
      <pivotArea type="data" outline="0" fieldPosition="0">
        <references count="4">
          <reference field="4294967294" count="1" selected="0">
            <x v="1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10">
      <pivotArea type="data" outline="0" fieldPosition="0">
        <references count="4">
          <reference field="4294967294" count="1" selected="0">
            <x v="1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11">
      <pivotArea type="data" outline="0" fieldPosition="0">
        <references count="4">
          <reference field="429496729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12">
      <pivotArea type="data" outline="0" fieldPosition="0">
        <references count="4">
          <reference field="429496729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13">
      <pivotArea type="data" outline="0" fieldPosition="0">
        <references count="4">
          <reference field="4294967294" count="1" selected="0">
            <x v="1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14">
      <pivotArea type="data" outline="0" fieldPosition="0">
        <references count="4">
          <reference field="4294967294" count="1" selected="0">
            <x v="1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15">
      <pivotArea type="data" outline="0" fieldPosition="0">
        <references count="4">
          <reference field="4294967294" count="1" selected="0">
            <x v="1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16">
      <pivotArea type="data" outline="0" fieldPosition="0">
        <references count="4">
          <reference field="4294967294" count="1" selected="0">
            <x v="1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4"/>
          </reference>
        </references>
      </pivotArea>
    </chartFormat>
    <chartFormat chart="0" format="11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1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1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0">
      <pivotArea type="data" outline="0" fieldPosition="0">
        <references count="4">
          <reference field="429496729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1">
      <pivotArea type="data" outline="0" fieldPosition="0">
        <references count="4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2">
      <pivotArea type="data" outline="0" fieldPosition="0">
        <references count="4">
          <reference field="4294967294" count="1" selected="0">
            <x v="0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3">
      <pivotArea type="data" outline="0" fieldPosition="0">
        <references count="4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4">
      <pivotArea type="data" outline="0" fieldPosition="0">
        <references count="4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5">
      <pivotArea type="data" outline="0" fieldPosition="0">
        <references count="4">
          <reference field="4294967294" count="1" selected="0">
            <x v="0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6">
      <pivotArea type="data" outline="0" fieldPosition="0">
        <references count="4">
          <reference field="4294967294" count="1" selected="0">
            <x v="0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7">
      <pivotArea type="data" outline="0" fieldPosition="0">
        <references count="4">
          <reference field="4294967294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8">
      <pivotArea type="data" outline="0" fieldPosition="0">
        <references count="4">
          <reference field="4294967294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29">
      <pivotArea type="data" outline="0" fieldPosition="0">
        <references count="4">
          <reference field="4294967294" count="1" selected="0">
            <x v="1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30">
      <pivotArea type="data" outline="0" fieldPosition="0">
        <references count="4">
          <reference field="4294967294" count="1" selected="0">
            <x v="1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31">
      <pivotArea type="data" outline="0" fieldPosition="0">
        <references count="4">
          <reference field="429496729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32">
      <pivotArea type="data" outline="0" fieldPosition="0">
        <references count="4">
          <reference field="429496729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33">
      <pivotArea type="data" outline="0" fieldPosition="0">
        <references count="4">
          <reference field="4294967294" count="1" selected="0">
            <x v="1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34">
      <pivotArea type="data" outline="0" fieldPosition="0">
        <references count="4">
          <reference field="4294967294" count="1" selected="0">
            <x v="1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35">
      <pivotArea type="data" outline="0" fieldPosition="0">
        <references count="4">
          <reference field="4294967294" count="1" selected="0">
            <x v="1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36">
      <pivotArea type="data" outline="0" fieldPosition="0">
        <references count="4">
          <reference field="4294967294" count="1" selected="0">
            <x v="1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5"/>
          </reference>
        </references>
      </pivotArea>
    </chartFormat>
    <chartFormat chart="0" format="13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3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3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0">
      <pivotArea type="data" outline="0" fieldPosition="0">
        <references count="4">
          <reference field="429496729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1">
      <pivotArea type="data" outline="0" fieldPosition="0">
        <references count="4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2">
      <pivotArea type="data" outline="0" fieldPosition="0">
        <references count="4">
          <reference field="4294967294" count="1" selected="0">
            <x v="0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3">
      <pivotArea type="data" outline="0" fieldPosition="0">
        <references count="4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4">
      <pivotArea type="data" outline="0" fieldPosition="0">
        <references count="4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5">
      <pivotArea type="data" outline="0" fieldPosition="0">
        <references count="4">
          <reference field="4294967294" count="1" selected="0">
            <x v="0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6">
      <pivotArea type="data" outline="0" fieldPosition="0">
        <references count="4">
          <reference field="4294967294" count="1" selected="0">
            <x v="0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7">
      <pivotArea type="data" outline="0" fieldPosition="0">
        <references count="4">
          <reference field="4294967294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8">
      <pivotArea type="data" outline="0" fieldPosition="0">
        <references count="4">
          <reference field="4294967294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49">
      <pivotArea type="data" outline="0" fieldPosition="0">
        <references count="4">
          <reference field="4294967294" count="1" selected="0">
            <x v="1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50">
      <pivotArea type="data" outline="0" fieldPosition="0">
        <references count="4">
          <reference field="4294967294" count="1" selected="0">
            <x v="1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51">
      <pivotArea type="data" outline="0" fieldPosition="0">
        <references count="4">
          <reference field="429496729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52">
      <pivotArea type="data" outline="0" fieldPosition="0">
        <references count="4">
          <reference field="429496729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53">
      <pivotArea type="data" outline="0" fieldPosition="0">
        <references count="4">
          <reference field="4294967294" count="1" selected="0">
            <x v="1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54">
      <pivotArea type="data" outline="0" fieldPosition="0">
        <references count="4">
          <reference field="4294967294" count="1" selected="0">
            <x v="1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55">
      <pivotArea type="data" outline="0" fieldPosition="0">
        <references count="4">
          <reference field="4294967294" count="1" selected="0">
            <x v="1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56">
      <pivotArea type="data" outline="0" fieldPosition="0">
        <references count="4">
          <reference field="4294967294" count="1" selected="0">
            <x v="1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</references>
      </pivotArea>
    </chartFormat>
    <chartFormat chart="0" format="157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58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59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0">
      <pivotArea type="data" outline="0" fieldPosition="0">
        <references count="4">
          <reference field="429496729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1">
      <pivotArea type="data" outline="0" fieldPosition="0">
        <references count="4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2">
      <pivotArea type="data" outline="0" fieldPosition="0">
        <references count="4">
          <reference field="4294967294" count="1" selected="0">
            <x v="0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3">
      <pivotArea type="data" outline="0" fieldPosition="0">
        <references count="4">
          <reference field="4294967294" count="1" selected="0">
            <x v="0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4">
      <pivotArea type="data" outline="0" fieldPosition="0">
        <references count="4">
          <reference field="4294967294" count="1" selected="0">
            <x v="0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5">
      <pivotArea type="data" outline="0" fieldPosition="0">
        <references count="4">
          <reference field="4294967294" count="1" selected="0">
            <x v="0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6">
      <pivotArea type="data" outline="0" fieldPosition="0">
        <references count="4">
          <reference field="4294967294" count="1" selected="0">
            <x v="0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7">
      <pivotArea type="data" outline="0" fieldPosition="0">
        <references count="4">
          <reference field="4294967294" count="1" selected="0">
            <x v="1"/>
          </reference>
          <reference field="6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8">
      <pivotArea type="data" outline="0" fieldPosition="0">
        <references count="4">
          <reference field="4294967294" count="1" selected="0">
            <x v="1"/>
          </reference>
          <reference field="6" count="1" selected="0">
            <x v="1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69">
      <pivotArea type="data" outline="0" fieldPosition="0">
        <references count="4">
          <reference field="4294967294" count="1" selected="0">
            <x v="1"/>
          </reference>
          <reference field="6" count="1" selected="0">
            <x v="2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70">
      <pivotArea type="data" outline="0" fieldPosition="0">
        <references count="4">
          <reference field="4294967294" count="1" selected="0">
            <x v="1"/>
          </reference>
          <reference field="6" count="1" selected="0">
            <x v="3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71">
      <pivotArea type="data" outline="0" fieldPosition="0">
        <references count="4">
          <reference field="429496729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72">
      <pivotArea type="data" outline="0" fieldPosition="0">
        <references count="4">
          <reference field="429496729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73">
      <pivotArea type="data" outline="0" fieldPosition="0">
        <references count="4">
          <reference field="4294967294" count="1" selected="0">
            <x v="1"/>
          </reference>
          <reference field="6" count="1" selected="0">
            <x v="6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74">
      <pivotArea type="data" outline="0" fieldPosition="0">
        <references count="4">
          <reference field="4294967294" count="1" selected="0">
            <x v="1"/>
          </reference>
          <reference field="6" count="1" selected="0">
            <x v="7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75">
      <pivotArea type="data" outline="0" fieldPosition="0">
        <references count="4">
          <reference field="4294967294" count="1" selected="0">
            <x v="1"/>
          </reference>
          <reference field="6" count="1" selected="0">
            <x v="8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  <chartFormat chart="0" format="176">
      <pivotArea type="data" outline="0" fieldPosition="0">
        <references count="4">
          <reference field="4294967294" count="1" selected="0">
            <x v="1"/>
          </reference>
          <reference field="6" count="1" selected="0">
            <x v="9"/>
          </reference>
          <reference field="8" count="1" selected="0">
            <x v="0"/>
          </reference>
          <reference field="10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EF22F-1174-4514-B255-07C2782A95D5}" name="PivotTable5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7:C28" firstHeaderRow="0" firstDataRow="1" firstDataCol="1"/>
  <pivotFields count="21">
    <pivotField compact="0" outline="0" showAll="0"/>
    <pivotField compact="0" outline="0" showAll="0"/>
    <pivotField axis="axisRow" compact="0" numFmtId="14" outline="0" showAll="0">
      <items count="11">
        <item x="8"/>
        <item x="3"/>
        <item x="9"/>
        <item x="7"/>
        <item x="2"/>
        <item x="6"/>
        <item x="1"/>
        <item x="0"/>
        <item x="5"/>
        <item x="4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EBA64-BBDB-4067-8710-9A21921CCDE3}" name="PivotTable4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1:D42" firstHeaderRow="0" firstDataRow="1" firstDataCol="1"/>
  <pivotFields count="21">
    <pivotField compact="0" outline="0" showAll="0"/>
    <pivotField compact="0" outline="0" showAll="0"/>
    <pivotField compact="0" numFmtId="14" outline="0" showAll="0">
      <items count="11">
        <item x="8"/>
        <item x="3"/>
        <item x="9"/>
        <item x="7"/>
        <item x="2"/>
        <item x="6"/>
        <item x="1"/>
        <item x="0"/>
        <item x="5"/>
        <item x="4"/>
        <item t="default"/>
      </items>
    </pivotField>
    <pivotField compact="0" numFmtId="14" outline="0" showAll="0"/>
    <pivotField compact="0" outline="0" showAll="0"/>
    <pivotField axis="axisRow" dataField="1" compact="0" outline="0" showAll="0">
      <items count="11">
        <item x="4"/>
        <item x="8"/>
        <item x="3"/>
        <item x="0"/>
        <item x="1"/>
        <item x="6"/>
        <item x="5"/>
        <item x="7"/>
        <item x="2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Count of Customer ID" fld="5" subtotal="count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2"/>
          </reference>
          <reference field="5" count="1" selected="0">
            <x v="9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24CCF-AC7D-4A56-815B-091A156CCF27}" name="PivotTable6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:B9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6E234-000B-4FB8-9129-8A16E2FA4206}" name="PivotTable11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74:B80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Row" compact="0" outline="0" showAll="0" measureFilter="1" sortType="descending">
      <items count="11">
        <item x="9"/>
        <item x="2"/>
        <item x="7"/>
        <item x="5"/>
        <item x="6"/>
        <item x="1"/>
        <item x="0"/>
        <item x="3"/>
        <item x="4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1">
        <item x="15"/>
        <item x="6"/>
        <item x="18"/>
        <item x="2"/>
        <item x="12"/>
        <item x="8"/>
        <item x="4"/>
        <item x="5"/>
        <item x="17"/>
        <item x="14"/>
        <item x="9"/>
        <item x="19"/>
        <item x="0"/>
        <item x="13"/>
        <item x="16"/>
        <item x="1"/>
        <item x="7"/>
        <item x="11"/>
        <item x="3"/>
        <item x="10"/>
        <item t="default"/>
      </items>
    </pivotField>
    <pivotField compact="0" outline="0" showAll="0"/>
    <pivotField compact="0" outline="0" showAll="0"/>
    <pivotField compact="0" outline="0" showAll="0">
      <items count="21">
        <item x="3"/>
        <item x="14"/>
        <item x="15"/>
        <item x="6"/>
        <item x="18"/>
        <item x="4"/>
        <item x="12"/>
        <item x="8"/>
        <item x="2"/>
        <item x="17"/>
        <item x="16"/>
        <item x="5"/>
        <item x="19"/>
        <item x="9"/>
        <item x="0"/>
        <item x="11"/>
        <item x="10"/>
        <item x="7"/>
        <item x="13"/>
        <item x="1"/>
        <item t="default"/>
      </items>
    </pivotField>
  </pivotFields>
  <rowFields count="1">
    <field x="6"/>
  </rowFields>
  <rowItems count="6">
    <i>
      <x v="1"/>
    </i>
    <i>
      <x v="2"/>
    </i>
    <i>
      <x v="3"/>
    </i>
    <i>
      <x v="6"/>
    </i>
    <i>
      <x v="7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01F81-C1D3-4FE8-9DCA-EE38368B94E1}" name="PivotTable10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7:C69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9"/>
        <item x="6"/>
        <item x="8"/>
        <item x="0"/>
        <item x="1"/>
        <item x="5"/>
        <item x="2"/>
        <item x="10"/>
        <item x="7"/>
        <item x="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15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8DB9B-1AD7-4FCD-B5E9-D7E48247E2CC}" name="PivotTable9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8:I49" firstHeaderRow="1" firstDataRow="1" firstDataCol="1"/>
  <pivotFields count="21">
    <pivotField compact="0" outline="0" showAll="0"/>
    <pivotField compact="0" outline="0" showAll="0"/>
    <pivotField axis="axisRow" compact="0" numFmtId="14" outline="0" showAll="0">
      <items count="11">
        <item x="8"/>
        <item x="3"/>
        <item x="9"/>
        <item x="7"/>
        <item x="2"/>
        <item x="6"/>
        <item x="1"/>
        <item x="0"/>
        <item x="5"/>
        <item x="4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F66C6-4EC6-4D22-84C8-4C491B39F700}" name="PivotTable7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19:H23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Date" xr10:uid="{FE0A22F2-684C-4939-87CB-3D8A79213CAB}" sourceName="Order Date">
  <pivotTables>
    <pivotTable tabId="2" name="PivotTable4"/>
  </pivotTables>
  <data>
    <tabular pivotCacheId="16737427">
      <items count="10">
        <i x="8" s="1"/>
        <i x="3" s="1"/>
        <i x="9" s="1"/>
        <i x="7" s="1"/>
        <i x="2" s="1"/>
        <i x="6" s="1"/>
        <i x="1" s="1"/>
        <i x="0" s="1"/>
        <i x="5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9204560-C647-4152-8065-6449D51999CB}" sourceName="Region">
  <pivotTables>
    <pivotTable tabId="2" name="PivotTable4"/>
  </pivotTables>
  <data>
    <tabular pivotCacheId="16737427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368B74CB-01F1-477A-B4BA-D167D19847DF}" sourceName="Category">
  <pivotTables>
    <pivotTable tabId="2" name="PivotTable4"/>
  </pivotTables>
  <data>
    <tabular pivotCacheId="1673742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Date" xr10:uid="{4423367D-FF5D-4580-8BBD-2FA64CF2B54B}" cache="Slicer_Order_Date" caption="Order Date" rowHeight="228600"/>
  <slicer name="Region" xr10:uid="{2732FA15-E905-498C-8598-4FD68FCC84DF}" cache="Slicer_Region" caption="Region" rowHeight="228600"/>
  <slicer name="Category" xr10:uid="{1866B425-5499-4D94-96A3-8F3BB6A80B84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491E9-11B3-4CEE-901C-6B21BED3FCBD}" name="Table1" displayName="Table1" ref="A1:U21" totalsRowShown="0" headerRowDxfId="23" dataDxfId="22">
  <autoFilter ref="A1:U21" xr:uid="{1B5491E9-11B3-4CEE-901C-6B21BED3FCBD}"/>
  <tableColumns count="21">
    <tableColumn id="1" xr3:uid="{E67F6955-8BAE-4A5D-B60F-8D59DDDB4E5E}" name="Row ID" dataDxfId="21"/>
    <tableColumn id="2" xr3:uid="{BA44CCFE-0E0E-43B9-A499-D46C2D9A9115}" name="Order ID" dataDxfId="20"/>
    <tableColumn id="3" xr3:uid="{12A7D989-5E67-4292-BBDD-6C0C2376477B}" name="Order Date" dataDxfId="19"/>
    <tableColumn id="4" xr3:uid="{1C093AE1-9259-4B7C-BFF0-DA136A6BED52}" name="Ship Date" dataDxfId="18"/>
    <tableColumn id="5" xr3:uid="{B5D4BC6E-7830-47F0-8FEC-F00CABF45F39}" name="Ship Mode" dataDxfId="17"/>
    <tableColumn id="6" xr3:uid="{E33C7D41-E887-418D-BA7A-6B2E1C240D58}" name="Customer ID" dataDxfId="16"/>
    <tableColumn id="7" xr3:uid="{4AACA19A-58FF-4D87-996E-93F1F1390B45}" name="Customer Name" dataDxfId="15"/>
    <tableColumn id="8" xr3:uid="{71BED5C9-0515-4650-BB1A-7CE209B9906E}" name="Segment" dataDxfId="14"/>
    <tableColumn id="9" xr3:uid="{1A8E7252-2233-40E1-A0B7-0655C13C3D03}" name="Country" dataDxfId="13"/>
    <tableColumn id="10" xr3:uid="{79EBF60C-9477-4F77-8BFD-7F1FF09677C8}" name="City" dataDxfId="12"/>
    <tableColumn id="11" xr3:uid="{0B783823-5918-4BDB-8612-D1CB55D2E1BB}" name="State" dataDxfId="11"/>
    <tableColumn id="12" xr3:uid="{974A1268-9C8E-452C-AA5E-37275D16B81B}" name="Postal Code" dataDxfId="10"/>
    <tableColumn id="13" xr3:uid="{434391AE-B049-405E-9333-59A4E20B113E}" name="Region" dataDxfId="9"/>
    <tableColumn id="14" xr3:uid="{3F81B95A-5F0E-434C-A531-B4BEA1B28C05}" name="Product ID" dataDxfId="8"/>
    <tableColumn id="15" xr3:uid="{436D92BD-C6F7-4AF9-9968-DFB212E33CED}" name="Category" dataDxfId="7"/>
    <tableColumn id="16" xr3:uid="{F0D3727C-F369-4167-A8B0-D30959B16321}" name="Sub-Category" dataDxfId="6"/>
    <tableColumn id="17" xr3:uid="{BD123205-AD77-4241-A42A-6A4A671873A2}" name="Product Name" dataDxfId="5"/>
    <tableColumn id="18" xr3:uid="{C86E0757-68E3-4E0D-9A81-F8E8A793E9EC}" name="Sales" dataDxfId="4"/>
    <tableColumn id="19" xr3:uid="{E7DD064E-3489-497E-A4DB-DCCF90495E1F}" name="Quantity" dataDxfId="3"/>
    <tableColumn id="20" xr3:uid="{1F85B85F-0020-4CA8-A132-6CAF4048AA88}" name="Discount" dataDxfId="2"/>
    <tableColumn id="21" xr3:uid="{A91CE96C-A4A9-4659-8670-09966FC38233}" name="Prof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selection activeCell="A2" sqref="A2:U21"/>
    </sheetView>
  </sheetViews>
  <sheetFormatPr defaultRowHeight="15"/>
  <cols>
    <col min="1" max="1" width="10" bestFit="1" customWidth="1"/>
    <col min="2" max="2" width="16.42578125" bestFit="1" customWidth="1"/>
    <col min="3" max="3" width="13.7109375" bestFit="1" customWidth="1"/>
    <col min="4" max="4" width="12.28515625" bestFit="1" customWidth="1"/>
    <col min="5" max="5" width="14.42578125" bestFit="1" customWidth="1"/>
    <col min="6" max="6" width="14.85546875" bestFit="1" customWidth="1"/>
    <col min="7" max="7" width="18.42578125" bestFit="1" customWidth="1"/>
    <col min="8" max="8" width="12.5703125" bestFit="1" customWidth="1"/>
    <col min="9" max="9" width="13.42578125" bestFit="1" customWidth="1"/>
    <col min="10" max="10" width="15.5703125" bestFit="1" customWidth="1"/>
    <col min="11" max="11" width="14.42578125" bestFit="1" customWidth="1"/>
    <col min="12" max="12" width="14.28515625" bestFit="1" customWidth="1"/>
    <col min="13" max="13" width="9.7109375" bestFit="1" customWidth="1"/>
    <col min="14" max="14" width="18" bestFit="1" customWidth="1"/>
    <col min="15" max="15" width="14.7109375" bestFit="1" customWidth="1"/>
    <col min="16" max="16" width="15.85546875" bestFit="1" customWidth="1"/>
    <col min="17" max="17" width="36.5703125" bestFit="1" customWidth="1"/>
    <col min="18" max="18" width="10" bestFit="1" customWidth="1"/>
    <col min="19" max="19" width="11.5703125" bestFit="1" customWidth="1"/>
    <col min="20" max="20" width="11.42578125" bestFit="1" customWidth="1"/>
    <col min="21" max="21" width="10" bestFit="1" customWidth="1"/>
  </cols>
  <sheetData>
    <row r="1" spans="1:2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.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3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32.2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3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32.2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3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32.2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3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6.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3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32.2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3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ht="16.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3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ht="16.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3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32.2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3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6.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3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ht="32.2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3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32.2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3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6.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3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32.2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3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48.7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3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32.2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3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32.2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3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6.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3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ht="16.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3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6.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3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0689-0C63-4C5D-B106-15740BE05C14}">
  <dimension ref="A17:AD44"/>
  <sheetViews>
    <sheetView workbookViewId="0">
      <selection activeCell="X23" sqref="X23"/>
    </sheetView>
  </sheetViews>
  <sheetFormatPr defaultRowHeight="15"/>
  <cols>
    <col min="1" max="1" width="15.140625" bestFit="1" customWidth="1"/>
    <col min="2" max="3" width="12.28515625" bestFit="1" customWidth="1"/>
    <col min="4" max="4" width="19.85546875" bestFit="1" customWidth="1"/>
    <col min="5" max="6" width="12.28515625" bestFit="1" customWidth="1"/>
    <col min="8" max="8" width="16" bestFit="1" customWidth="1"/>
    <col min="9" max="9" width="9.5703125" bestFit="1" customWidth="1"/>
    <col min="10" max="10" width="9.28515625" bestFit="1" customWidth="1"/>
    <col min="11" max="11" width="12.28515625" bestFit="1" customWidth="1"/>
    <col min="12" max="12" width="18.42578125" bestFit="1" customWidth="1"/>
    <col min="13" max="18" width="12.28515625" bestFit="1" customWidth="1"/>
    <col min="19" max="19" width="13.85546875" bestFit="1" customWidth="1"/>
    <col min="20" max="28" width="12.28515625" bestFit="1" customWidth="1"/>
    <col min="29" max="32" width="17" bestFit="1" customWidth="1"/>
    <col min="33" max="33" width="24.7109375" bestFit="1" customWidth="1"/>
  </cols>
  <sheetData>
    <row r="17" spans="1:30">
      <c r="A17" s="5" t="s">
        <v>2</v>
      </c>
      <c r="B17" s="5" t="s">
        <v>131</v>
      </c>
      <c r="C17" t="s">
        <v>132</v>
      </c>
    </row>
    <row r="18" spans="1:30">
      <c r="A18" s="6">
        <v>41772</v>
      </c>
      <c r="B18" s="4">
        <v>55.5</v>
      </c>
      <c r="C18" s="4">
        <v>9.99</v>
      </c>
    </row>
    <row r="19" spans="1:30">
      <c r="A19" s="6">
        <v>41799</v>
      </c>
      <c r="B19" s="4">
        <v>3714.3040000000001</v>
      </c>
      <c r="C19" s="4">
        <v>300.76870000000002</v>
      </c>
    </row>
    <row r="20" spans="1:30">
      <c r="A20" s="6">
        <v>41878</v>
      </c>
      <c r="B20" s="4">
        <v>222.04</v>
      </c>
      <c r="C20" s="4">
        <v>18.493400000000001</v>
      </c>
    </row>
    <row r="21" spans="1:30">
      <c r="A21" s="6">
        <v>41954</v>
      </c>
      <c r="B21" s="4">
        <v>665.88</v>
      </c>
      <c r="C21" s="4">
        <v>13.317600000000001</v>
      </c>
    </row>
    <row r="22" spans="1:30">
      <c r="A22" s="6">
        <v>42288</v>
      </c>
      <c r="B22" s="4">
        <v>979.94550000000004</v>
      </c>
      <c r="C22" s="4">
        <v>-380.51460000000003</v>
      </c>
    </row>
    <row r="23" spans="1:30">
      <c r="A23" s="6">
        <v>42330</v>
      </c>
      <c r="B23" s="4">
        <v>71.353999999999999</v>
      </c>
      <c r="C23" s="4">
        <v>-127.67400000000001</v>
      </c>
    </row>
    <row r="24" spans="1:30">
      <c r="A24" s="6">
        <v>42533</v>
      </c>
      <c r="B24" s="4">
        <v>14.62</v>
      </c>
      <c r="C24" s="4">
        <v>6.8714000000000004</v>
      </c>
    </row>
    <row r="25" spans="1:30">
      <c r="A25" s="6">
        <v>42682</v>
      </c>
      <c r="B25" s="4">
        <v>993.90000000000009</v>
      </c>
      <c r="C25" s="4">
        <v>261.49559999999997</v>
      </c>
    </row>
    <row r="26" spans="1:30">
      <c r="A26" s="6">
        <v>42709</v>
      </c>
      <c r="B26" s="4">
        <v>407.976</v>
      </c>
      <c r="C26" s="4">
        <v>132.59219999999999</v>
      </c>
    </row>
    <row r="27" spans="1:30">
      <c r="A27" s="6">
        <v>42840</v>
      </c>
      <c r="B27" s="4">
        <v>15.552</v>
      </c>
      <c r="C27" s="4">
        <v>5.4432</v>
      </c>
    </row>
    <row r="28" spans="1:30">
      <c r="A28" s="6" t="s">
        <v>133</v>
      </c>
      <c r="B28" s="4">
        <v>7141.0714999999991</v>
      </c>
      <c r="C28" s="4">
        <v>240.78349999999998</v>
      </c>
    </row>
    <row r="30" spans="1:30">
      <c r="M30" s="5" t="s">
        <v>10</v>
      </c>
      <c r="N30" s="5" t="s">
        <v>134</v>
      </c>
    </row>
    <row r="31" spans="1:30">
      <c r="A31" s="5" t="s">
        <v>5</v>
      </c>
      <c r="B31" s="5" t="s">
        <v>131</v>
      </c>
      <c r="C31" t="s">
        <v>132</v>
      </c>
      <c r="D31" t="s">
        <v>135</v>
      </c>
      <c r="M31" t="s">
        <v>42</v>
      </c>
      <c r="O31" t="s">
        <v>53</v>
      </c>
      <c r="Q31" t="s">
        <v>28</v>
      </c>
      <c r="S31" t="s">
        <v>87</v>
      </c>
      <c r="U31" t="s">
        <v>103</v>
      </c>
      <c r="W31" t="s">
        <v>120</v>
      </c>
      <c r="Y31" t="s">
        <v>95</v>
      </c>
      <c r="AA31" t="s">
        <v>113</v>
      </c>
      <c r="AC31" t="s">
        <v>136</v>
      </c>
      <c r="AD31" t="s">
        <v>137</v>
      </c>
    </row>
    <row r="32" spans="1:30">
      <c r="A32" t="s">
        <v>84</v>
      </c>
      <c r="B32" s="4">
        <v>15.552</v>
      </c>
      <c r="C32" s="4">
        <v>5.4432</v>
      </c>
      <c r="D32" s="4">
        <v>1</v>
      </c>
      <c r="K32" s="5" t="s">
        <v>8</v>
      </c>
      <c r="L32" s="5" t="s">
        <v>6</v>
      </c>
      <c r="M32" t="s">
        <v>131</v>
      </c>
      <c r="N32" t="s">
        <v>132</v>
      </c>
      <c r="O32" t="s">
        <v>131</v>
      </c>
      <c r="P32" t="s">
        <v>132</v>
      </c>
      <c r="Q32" t="s">
        <v>131</v>
      </c>
      <c r="R32" t="s">
        <v>132</v>
      </c>
      <c r="S32" t="s">
        <v>131</v>
      </c>
      <c r="T32" t="s">
        <v>132</v>
      </c>
      <c r="U32" t="s">
        <v>131</v>
      </c>
      <c r="V32" t="s">
        <v>132</v>
      </c>
      <c r="W32" t="s">
        <v>131</v>
      </c>
      <c r="X32" t="s">
        <v>132</v>
      </c>
      <c r="Y32" t="s">
        <v>131</v>
      </c>
      <c r="Z32" t="s">
        <v>132</v>
      </c>
      <c r="AA32" t="s">
        <v>131</v>
      </c>
      <c r="AB32" t="s">
        <v>132</v>
      </c>
    </row>
    <row r="33" spans="1:30">
      <c r="A33" t="s">
        <v>117</v>
      </c>
      <c r="B33" s="4">
        <v>55.5</v>
      </c>
      <c r="C33" s="4">
        <v>9.99</v>
      </c>
      <c r="D33" s="4">
        <v>1</v>
      </c>
      <c r="K33" t="s">
        <v>26</v>
      </c>
      <c r="L33" t="s">
        <v>118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>
        <v>55.5</v>
      </c>
      <c r="X33" s="4">
        <v>9.99</v>
      </c>
      <c r="Y33" s="4"/>
      <c r="Z33" s="4"/>
      <c r="AA33" s="4"/>
      <c r="AB33" s="4"/>
      <c r="AC33" s="4">
        <v>55.5</v>
      </c>
      <c r="AD33" s="4">
        <v>9.99</v>
      </c>
    </row>
    <row r="34" spans="1:30">
      <c r="A34" t="s">
        <v>61</v>
      </c>
      <c r="B34" s="4">
        <v>3714.3040000000001</v>
      </c>
      <c r="C34" s="4">
        <v>300.76870000000002</v>
      </c>
      <c r="D34" s="4">
        <v>7</v>
      </c>
      <c r="L34" t="s">
        <v>85</v>
      </c>
      <c r="M34" s="4"/>
      <c r="N34" s="4"/>
      <c r="O34" s="4"/>
      <c r="P34" s="4"/>
      <c r="Q34" s="4"/>
      <c r="R34" s="4"/>
      <c r="S34" s="4">
        <v>15.552</v>
      </c>
      <c r="T34" s="4">
        <v>5.4432</v>
      </c>
      <c r="U34" s="4"/>
      <c r="V34" s="4"/>
      <c r="W34" s="4"/>
      <c r="X34" s="4"/>
      <c r="Y34" s="4"/>
      <c r="Z34" s="4"/>
      <c r="AA34" s="4"/>
      <c r="AB34" s="4"/>
      <c r="AC34" s="4">
        <v>15.552</v>
      </c>
      <c r="AD34" s="4">
        <v>5.4432</v>
      </c>
    </row>
    <row r="35" spans="1:30">
      <c r="A35" t="s">
        <v>23</v>
      </c>
      <c r="B35" s="4">
        <v>993.90000000000009</v>
      </c>
      <c r="C35" s="4">
        <v>261.49559999999997</v>
      </c>
      <c r="D35" s="4">
        <v>2</v>
      </c>
      <c r="L35" t="s">
        <v>62</v>
      </c>
      <c r="M35" s="4">
        <v>3714.3040000000001</v>
      </c>
      <c r="N35" s="4">
        <v>300.76870000000002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>
        <v>3714.3040000000001</v>
      </c>
      <c r="AD35" s="4">
        <v>300.76870000000002</v>
      </c>
    </row>
    <row r="36" spans="1:30">
      <c r="A36" t="s">
        <v>38</v>
      </c>
      <c r="B36" s="4">
        <v>14.62</v>
      </c>
      <c r="C36" s="4">
        <v>6.8714000000000004</v>
      </c>
      <c r="D36" s="4">
        <v>1</v>
      </c>
      <c r="L36" t="s">
        <v>24</v>
      </c>
      <c r="M36" s="4"/>
      <c r="N36" s="4"/>
      <c r="O36" s="4"/>
      <c r="P36" s="4"/>
      <c r="Q36" s="4">
        <v>993.90000000000009</v>
      </c>
      <c r="R36" s="4">
        <v>261.49559999999997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>
        <v>993.90000000000009</v>
      </c>
      <c r="AD36" s="4">
        <v>261.49559999999997</v>
      </c>
    </row>
    <row r="37" spans="1:30">
      <c r="A37" t="s">
        <v>99</v>
      </c>
      <c r="B37" s="4">
        <v>71.353999999999999</v>
      </c>
      <c r="C37" s="4">
        <v>-127.67400000000001</v>
      </c>
      <c r="D37" s="4">
        <v>2</v>
      </c>
      <c r="L37" t="s">
        <v>39</v>
      </c>
      <c r="M37" s="4">
        <v>14.62</v>
      </c>
      <c r="N37" s="4">
        <v>6.8714000000000004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>
        <v>14.62</v>
      </c>
      <c r="AD37" s="4">
        <v>6.8714000000000004</v>
      </c>
    </row>
    <row r="38" spans="1:30">
      <c r="A38" t="s">
        <v>92</v>
      </c>
      <c r="B38" s="4">
        <v>407.976</v>
      </c>
      <c r="C38" s="4">
        <v>132.59219999999999</v>
      </c>
      <c r="D38" s="4">
        <v>1</v>
      </c>
      <c r="L38" t="s">
        <v>100</v>
      </c>
      <c r="M38" s="4"/>
      <c r="N38" s="4"/>
      <c r="O38" s="4"/>
      <c r="P38" s="4"/>
      <c r="Q38" s="4"/>
      <c r="R38" s="4"/>
      <c r="S38" s="4"/>
      <c r="T38" s="4"/>
      <c r="U38" s="4">
        <v>71.353999999999999</v>
      </c>
      <c r="V38" s="4">
        <v>-127.67400000000001</v>
      </c>
      <c r="W38" s="4"/>
      <c r="X38" s="4"/>
      <c r="Y38" s="4"/>
      <c r="Z38" s="4"/>
      <c r="AA38" s="4"/>
      <c r="AB38" s="4"/>
      <c r="AC38" s="4">
        <v>71.353999999999999</v>
      </c>
      <c r="AD38" s="4">
        <v>-127.67400000000001</v>
      </c>
    </row>
    <row r="39" spans="1:30">
      <c r="A39" t="s">
        <v>110</v>
      </c>
      <c r="B39" s="4">
        <v>665.88</v>
      </c>
      <c r="C39" s="4">
        <v>13.317600000000001</v>
      </c>
      <c r="D39" s="4">
        <v>1</v>
      </c>
      <c r="L39" t="s">
        <v>93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407.976</v>
      </c>
      <c r="Z39" s="4">
        <v>132.59219999999999</v>
      </c>
      <c r="AA39" s="4"/>
      <c r="AB39" s="4"/>
      <c r="AC39" s="4">
        <v>407.976</v>
      </c>
      <c r="AD39" s="4">
        <v>132.59219999999999</v>
      </c>
    </row>
    <row r="40" spans="1:30">
      <c r="A40" t="s">
        <v>50</v>
      </c>
      <c r="B40" s="4">
        <v>979.94550000000004</v>
      </c>
      <c r="C40" s="4">
        <v>-380.51460000000003</v>
      </c>
      <c r="D40" s="4">
        <v>2</v>
      </c>
      <c r="L40" t="s">
        <v>111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>
        <v>665.88</v>
      </c>
      <c r="AB40" s="4">
        <v>13.317600000000001</v>
      </c>
      <c r="AC40" s="4">
        <v>665.88</v>
      </c>
      <c r="AD40" s="4">
        <v>13.317600000000001</v>
      </c>
    </row>
    <row r="41" spans="1:30">
      <c r="A41" t="s">
        <v>124</v>
      </c>
      <c r="B41" s="4">
        <v>222.04</v>
      </c>
      <c r="C41" s="4">
        <v>18.493400000000001</v>
      </c>
      <c r="D41" s="4">
        <v>2</v>
      </c>
      <c r="L41" t="s">
        <v>51</v>
      </c>
      <c r="M41" s="4"/>
      <c r="N41" s="4"/>
      <c r="O41" s="4">
        <v>979.94550000000004</v>
      </c>
      <c r="P41" s="4">
        <v>-380.51460000000003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>
        <v>979.94550000000004</v>
      </c>
      <c r="AD41" s="4">
        <v>-380.51460000000003</v>
      </c>
    </row>
    <row r="42" spans="1:30">
      <c r="A42" t="s">
        <v>133</v>
      </c>
      <c r="B42" s="4">
        <v>7141.0715</v>
      </c>
      <c r="C42" s="4">
        <v>240.78350000000003</v>
      </c>
      <c r="D42" s="4">
        <v>20</v>
      </c>
      <c r="L42" t="s">
        <v>125</v>
      </c>
      <c r="M42" s="4">
        <v>222.04</v>
      </c>
      <c r="N42" s="4">
        <v>18.493400000000001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>
        <v>222.04</v>
      </c>
      <c r="AD42" s="4">
        <v>18.493400000000001</v>
      </c>
    </row>
    <row r="43" spans="1:30">
      <c r="K43" t="s">
        <v>138</v>
      </c>
      <c r="M43" s="4">
        <v>3950.9639999999999</v>
      </c>
      <c r="N43" s="4">
        <v>326.13350000000003</v>
      </c>
      <c r="O43" s="4">
        <v>979.94550000000004</v>
      </c>
      <c r="P43" s="4">
        <v>-380.51460000000003</v>
      </c>
      <c r="Q43" s="4">
        <v>993.90000000000009</v>
      </c>
      <c r="R43" s="4">
        <v>261.49559999999997</v>
      </c>
      <c r="S43" s="4">
        <v>15.552</v>
      </c>
      <c r="T43" s="4">
        <v>5.4432</v>
      </c>
      <c r="U43" s="4">
        <v>71.353999999999999</v>
      </c>
      <c r="V43" s="4">
        <v>-127.67400000000001</v>
      </c>
      <c r="W43" s="4">
        <v>55.5</v>
      </c>
      <c r="X43" s="4">
        <v>9.99</v>
      </c>
      <c r="Y43" s="4">
        <v>407.976</v>
      </c>
      <c r="Z43" s="4">
        <v>132.59219999999999</v>
      </c>
      <c r="AA43" s="4">
        <v>665.88</v>
      </c>
      <c r="AB43" s="4">
        <v>13.317600000000001</v>
      </c>
      <c r="AC43" s="4">
        <v>7141.0715</v>
      </c>
      <c r="AD43" s="4">
        <v>240.7835</v>
      </c>
    </row>
    <row r="44" spans="1:30">
      <c r="K44" t="s">
        <v>133</v>
      </c>
      <c r="M44" s="4">
        <v>3950.9639999999999</v>
      </c>
      <c r="N44" s="4">
        <v>326.13350000000003</v>
      </c>
      <c r="O44" s="4">
        <v>979.94550000000004</v>
      </c>
      <c r="P44" s="4">
        <v>-380.51460000000003</v>
      </c>
      <c r="Q44" s="4">
        <v>993.90000000000009</v>
      </c>
      <c r="R44" s="4">
        <v>261.49559999999997</v>
      </c>
      <c r="S44" s="4">
        <v>15.552</v>
      </c>
      <c r="T44" s="4">
        <v>5.4432</v>
      </c>
      <c r="U44" s="4">
        <v>71.353999999999999</v>
      </c>
      <c r="V44" s="4">
        <v>-127.67400000000001</v>
      </c>
      <c r="W44" s="4">
        <v>55.5</v>
      </c>
      <c r="X44" s="4">
        <v>9.99</v>
      </c>
      <c r="Y44" s="4">
        <v>407.976</v>
      </c>
      <c r="Z44" s="4">
        <v>132.59219999999999</v>
      </c>
      <c r="AA44" s="4">
        <v>665.88</v>
      </c>
      <c r="AB44" s="4">
        <v>13.317600000000001</v>
      </c>
      <c r="AC44" s="4">
        <v>7141.0715</v>
      </c>
      <c r="AD44" s="4">
        <v>240.7835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DD90-6621-4023-AF4F-F2D6D62509EC}">
  <dimension ref="A5:I80"/>
  <sheetViews>
    <sheetView tabSelected="1" topLeftCell="A4" workbookViewId="0">
      <selection activeCell="H21" sqref="H21"/>
    </sheetView>
  </sheetViews>
  <sheetFormatPr defaultRowHeight="15"/>
  <cols>
    <col min="1" max="1" width="18.42578125" bestFit="1" customWidth="1"/>
    <col min="2" max="3" width="12.28515625" bestFit="1" customWidth="1"/>
    <col min="7" max="8" width="13.7109375" bestFit="1" customWidth="1"/>
    <col min="9" max="9" width="12.28515625" bestFit="1" customWidth="1"/>
  </cols>
  <sheetData>
    <row r="5" spans="1:2">
      <c r="A5" s="5" t="s">
        <v>14</v>
      </c>
      <c r="B5" t="s">
        <v>131</v>
      </c>
    </row>
    <row r="6" spans="1:2">
      <c r="A6" t="s">
        <v>31</v>
      </c>
      <c r="B6" s="4">
        <v>3706.5214999999998</v>
      </c>
    </row>
    <row r="7" spans="1:2">
      <c r="A7" t="s">
        <v>45</v>
      </c>
      <c r="B7" s="4">
        <v>1402.4939999999999</v>
      </c>
    </row>
    <row r="8" spans="1:2">
      <c r="A8" t="s">
        <v>70</v>
      </c>
      <c r="B8" s="4">
        <v>2032.056</v>
      </c>
    </row>
    <row r="9" spans="1:2">
      <c r="A9" t="s">
        <v>133</v>
      </c>
      <c r="B9" s="4">
        <v>7141.0715</v>
      </c>
    </row>
    <row r="19" spans="7:8">
      <c r="G19" s="5" t="s">
        <v>12</v>
      </c>
      <c r="H19" t="s">
        <v>132</v>
      </c>
    </row>
    <row r="20" spans="7:8">
      <c r="G20" t="s">
        <v>104</v>
      </c>
      <c r="H20" s="4">
        <v>-114.35640000000001</v>
      </c>
    </row>
    <row r="21" spans="7:8">
      <c r="G21" t="s">
        <v>29</v>
      </c>
      <c r="H21" s="4">
        <v>-113.57580000000003</v>
      </c>
    </row>
    <row r="22" spans="7:8">
      <c r="G22" t="s">
        <v>43</v>
      </c>
      <c r="H22" s="4">
        <v>468.71570000000003</v>
      </c>
    </row>
    <row r="23" spans="7:8">
      <c r="G23" t="s">
        <v>133</v>
      </c>
      <c r="H23" s="4">
        <v>240.7835</v>
      </c>
    </row>
    <row r="38" spans="8:9">
      <c r="H38" s="5" t="s">
        <v>2</v>
      </c>
      <c r="I38" t="s">
        <v>131</v>
      </c>
    </row>
    <row r="39" spans="8:9">
      <c r="H39" s="6">
        <v>41772</v>
      </c>
      <c r="I39" s="4">
        <v>55.5</v>
      </c>
    </row>
    <row r="40" spans="8:9">
      <c r="H40" s="6">
        <v>41799</v>
      </c>
      <c r="I40" s="4">
        <v>3714.3040000000001</v>
      </c>
    </row>
    <row r="41" spans="8:9">
      <c r="H41" s="6">
        <v>41878</v>
      </c>
      <c r="I41" s="4">
        <v>222.04</v>
      </c>
    </row>
    <row r="42" spans="8:9">
      <c r="H42" s="6">
        <v>41954</v>
      </c>
      <c r="I42" s="4">
        <v>665.88</v>
      </c>
    </row>
    <row r="43" spans="8:9">
      <c r="H43" s="6">
        <v>42288</v>
      </c>
      <c r="I43" s="4">
        <v>979.94550000000004</v>
      </c>
    </row>
    <row r="44" spans="8:9">
      <c r="H44" s="6">
        <v>42330</v>
      </c>
      <c r="I44" s="4">
        <v>71.353999999999999</v>
      </c>
    </row>
    <row r="45" spans="8:9">
      <c r="H45" s="6">
        <v>42533</v>
      </c>
      <c r="I45" s="4">
        <v>14.62</v>
      </c>
    </row>
    <row r="46" spans="8:9">
      <c r="H46" s="6">
        <v>42682</v>
      </c>
      <c r="I46" s="4">
        <v>993.90000000000009</v>
      </c>
    </row>
    <row r="47" spans="8:9">
      <c r="H47" s="6">
        <v>42709</v>
      </c>
      <c r="I47" s="4">
        <v>407.976</v>
      </c>
    </row>
    <row r="48" spans="8:9">
      <c r="H48" s="6">
        <v>42840</v>
      </c>
      <c r="I48" s="4">
        <v>15.552</v>
      </c>
    </row>
    <row r="49" spans="1:9">
      <c r="H49" s="6" t="s">
        <v>133</v>
      </c>
      <c r="I49" s="4">
        <v>7141.0714999999991</v>
      </c>
    </row>
    <row r="57" spans="1:9">
      <c r="A57" s="5" t="s">
        <v>15</v>
      </c>
      <c r="B57" t="s">
        <v>131</v>
      </c>
      <c r="C57" t="s">
        <v>132</v>
      </c>
    </row>
    <row r="58" spans="1:9">
      <c r="A58" t="s">
        <v>77</v>
      </c>
      <c r="B58" s="4">
        <v>183.71</v>
      </c>
      <c r="C58" s="4">
        <v>-89.388000000000005</v>
      </c>
    </row>
    <row r="59" spans="1:9">
      <c r="A59" t="s">
        <v>67</v>
      </c>
      <c r="B59" s="4">
        <v>15.84</v>
      </c>
      <c r="C59" s="4">
        <v>4.4480000000000004</v>
      </c>
    </row>
    <row r="60" spans="1:9">
      <c r="A60" t="s">
        <v>74</v>
      </c>
      <c r="B60" s="4">
        <v>429.024</v>
      </c>
      <c r="C60" s="4">
        <v>134.55869999999999</v>
      </c>
    </row>
    <row r="61" spans="1:9">
      <c r="A61" t="s">
        <v>32</v>
      </c>
      <c r="B61" s="4">
        <v>261.95999999999998</v>
      </c>
      <c r="C61" s="4">
        <v>41.913600000000002</v>
      </c>
    </row>
    <row r="62" spans="1:9">
      <c r="A62" t="s">
        <v>35</v>
      </c>
      <c r="B62" s="4">
        <v>731.94</v>
      </c>
      <c r="C62" s="4">
        <v>219.58199999999999</v>
      </c>
    </row>
    <row r="63" spans="1:9">
      <c r="A63" t="s">
        <v>64</v>
      </c>
      <c r="B63" s="4">
        <v>48.86</v>
      </c>
      <c r="C63" s="4">
        <v>14.1694</v>
      </c>
    </row>
    <row r="64" spans="1:9">
      <c r="A64" t="s">
        <v>46</v>
      </c>
      <c r="B64" s="4">
        <v>14.62</v>
      </c>
      <c r="C64" s="4">
        <v>6.8714000000000004</v>
      </c>
    </row>
    <row r="65" spans="1:3">
      <c r="A65" t="s">
        <v>89</v>
      </c>
      <c r="B65" s="4">
        <v>15.552</v>
      </c>
      <c r="C65" s="4">
        <v>5.4432</v>
      </c>
    </row>
    <row r="66" spans="1:3">
      <c r="A66" t="s">
        <v>71</v>
      </c>
      <c r="B66" s="4">
        <v>2032.056</v>
      </c>
      <c r="C66" s="4">
        <v>175.083</v>
      </c>
    </row>
    <row r="67" spans="1:3">
      <c r="A67" t="s">
        <v>58</v>
      </c>
      <c r="B67" s="4">
        <v>743.74800000000005</v>
      </c>
      <c r="C67" s="4">
        <v>25.823999999999998</v>
      </c>
    </row>
    <row r="68" spans="1:3">
      <c r="A68" t="s">
        <v>55</v>
      </c>
      <c r="B68" s="4">
        <v>2663.7615000000001</v>
      </c>
      <c r="C68" s="4">
        <v>-297.72180000000003</v>
      </c>
    </row>
    <row r="69" spans="1:3">
      <c r="A69" t="s">
        <v>133</v>
      </c>
      <c r="B69" s="4">
        <v>7141.0715</v>
      </c>
      <c r="C69" s="4">
        <v>240.78349999999989</v>
      </c>
    </row>
    <row r="74" spans="1:3">
      <c r="A74" s="5" t="s">
        <v>6</v>
      </c>
      <c r="B74" t="s">
        <v>131</v>
      </c>
    </row>
    <row r="75" spans="1:3">
      <c r="A75" t="s">
        <v>51</v>
      </c>
      <c r="B75" s="4">
        <v>979.94550000000004</v>
      </c>
    </row>
    <row r="76" spans="1:3">
      <c r="A76" t="s">
        <v>111</v>
      </c>
      <c r="B76" s="4">
        <v>665.88</v>
      </c>
    </row>
    <row r="77" spans="1:3">
      <c r="A77" t="s">
        <v>93</v>
      </c>
      <c r="B77" s="4">
        <v>407.976</v>
      </c>
    </row>
    <row r="78" spans="1:3">
      <c r="A78" t="s">
        <v>24</v>
      </c>
      <c r="B78" s="4">
        <v>993.90000000000009</v>
      </c>
    </row>
    <row r="79" spans="1:3">
      <c r="A79" t="s">
        <v>62</v>
      </c>
      <c r="B79" s="4">
        <v>3714.3040000000001</v>
      </c>
    </row>
    <row r="80" spans="1:3">
      <c r="A80" t="s">
        <v>133</v>
      </c>
      <c r="B80" s="4">
        <v>6762.0055000000002</v>
      </c>
    </row>
  </sheetData>
  <conditionalFormatting pivot="1" sqref="C58:C68">
    <cfRule type="cellIs" dxfId="0" priority="1" operator="lessThan">
      <formula>0</formula>
    </cfRule>
  </conditionalFormatting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2025-08-17T08:44:33Z</dcterms:created>
  <dcterms:modified xsi:type="dcterms:W3CDTF">2025-08-17T12:31:15Z</dcterms:modified>
  <cp:category/>
  <cp:contentStatus/>
</cp:coreProperties>
</file>